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D:\Users\ani88864\git\Thesis_Python\Feed in and electricity prices\"/>
    </mc:Choice>
  </mc:AlternateContent>
  <xr:revisionPtr revIDLastSave="0" documentId="13_ncr:1_{72FA8D13-19DF-4C0E-ACC9-DD72E587C931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Solar" sheetId="1" r:id="rId1"/>
    <sheet name="Beispiel" sheetId="2" r:id="rId2"/>
    <sheet name="Feed in Tarrif 2021 Germany" sheetId="4" r:id="rId3"/>
  </sheets>
  <definedNames>
    <definedName name="_xlnm.Print_Area" localSheetId="0">Solar!$A$1:$N$79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11" i="1" s="1"/>
  <c r="K13" i="1" l="1"/>
  <c r="C11" i="1"/>
  <c r="B12" i="2" l="1"/>
  <c r="D19" i="1" l="1"/>
  <c r="M74" i="1"/>
  <c r="M77" i="1" s="1"/>
  <c r="M80" i="1" s="1"/>
  <c r="L74" i="1"/>
  <c r="L77" i="1" s="1"/>
  <c r="K74" i="1"/>
  <c r="K75" i="1" s="1"/>
  <c r="M10" i="1"/>
  <c r="M13" i="1" s="1"/>
  <c r="N52" i="1"/>
  <c r="M52" i="1"/>
  <c r="L52" i="1"/>
  <c r="K52" i="1"/>
  <c r="M81" i="1" l="1"/>
  <c r="M83" i="1"/>
  <c r="L75" i="1"/>
  <c r="M11" i="1"/>
  <c r="M53" i="1" s="1"/>
  <c r="M16" i="1"/>
  <c r="M14" i="1"/>
  <c r="M54" i="1" s="1"/>
  <c r="M78" i="1"/>
  <c r="M75" i="1"/>
  <c r="L78" i="1"/>
  <c r="L80" i="1"/>
  <c r="K77" i="1"/>
  <c r="L81" i="1" l="1"/>
  <c r="L83" i="1"/>
  <c r="M84" i="1"/>
  <c r="M86" i="1"/>
  <c r="M17" i="1"/>
  <c r="M55" i="1" s="1"/>
  <c r="M19" i="1"/>
  <c r="K80" i="1"/>
  <c r="K78" i="1"/>
  <c r="M20" i="1" l="1"/>
  <c r="M56" i="1" s="1"/>
  <c r="M22" i="1"/>
  <c r="L84" i="1"/>
  <c r="L86" i="1"/>
  <c r="M87" i="1"/>
  <c r="M89" i="1"/>
  <c r="M92" i="1" s="1"/>
  <c r="M95" i="1" s="1"/>
  <c r="M98" i="1" s="1"/>
  <c r="M101" i="1" s="1"/>
  <c r="M104" i="1" s="1"/>
  <c r="M107" i="1" s="1"/>
  <c r="K81" i="1"/>
  <c r="K83" i="1"/>
  <c r="B17" i="2"/>
  <c r="M102" i="1" l="1"/>
  <c r="M90" i="1"/>
  <c r="M23" i="1"/>
  <c r="M25" i="1"/>
  <c r="M28" i="1" s="1"/>
  <c r="M31" i="1" s="1"/>
  <c r="M34" i="1" s="1"/>
  <c r="M37" i="1" s="1"/>
  <c r="K84" i="1"/>
  <c r="K86" i="1"/>
  <c r="L89" i="1"/>
  <c r="L87" i="1"/>
  <c r="N10" i="1"/>
  <c r="N11" i="1" s="1"/>
  <c r="N53" i="1" s="1"/>
  <c r="L10" i="1"/>
  <c r="L13" i="1" s="1"/>
  <c r="K53" i="1"/>
  <c r="M108" i="1" l="1"/>
  <c r="M105" i="1"/>
  <c r="M40" i="1"/>
  <c r="M38" i="1"/>
  <c r="M62" i="1" s="1"/>
  <c r="M57" i="1"/>
  <c r="L90" i="1"/>
  <c r="L92" i="1"/>
  <c r="M93" i="1"/>
  <c r="M26" i="1"/>
  <c r="K87" i="1"/>
  <c r="K89" i="1"/>
  <c r="K92" i="1" s="1"/>
  <c r="K95" i="1" s="1"/>
  <c r="K98" i="1" s="1"/>
  <c r="K101" i="1" s="1"/>
  <c r="N13" i="1"/>
  <c r="N14" i="1" s="1"/>
  <c r="N54" i="1" s="1"/>
  <c r="L11" i="1"/>
  <c r="L53" i="1" s="1"/>
  <c r="L14" i="1"/>
  <c r="L54" i="1" s="1"/>
  <c r="L16" i="1"/>
  <c r="L19" i="1" s="1"/>
  <c r="K104" i="1" l="1"/>
  <c r="K102" i="1"/>
  <c r="M43" i="1"/>
  <c r="M44" i="1" s="1"/>
  <c r="M64" i="1" s="1"/>
  <c r="M41" i="1"/>
  <c r="M63" i="1" s="1"/>
  <c r="L95" i="1"/>
  <c r="L93" i="1"/>
  <c r="M58" i="1"/>
  <c r="K90" i="1"/>
  <c r="M96" i="1"/>
  <c r="M99" i="1"/>
  <c r="L22" i="1"/>
  <c r="L20" i="1"/>
  <c r="L56" i="1" s="1"/>
  <c r="M29" i="1"/>
  <c r="M59" i="1" s="1"/>
  <c r="N16" i="1"/>
  <c r="N19" i="1" s="1"/>
  <c r="K14" i="1"/>
  <c r="K54" i="1" s="1"/>
  <c r="K16" i="1"/>
  <c r="K19" i="1" s="1"/>
  <c r="L17" i="1"/>
  <c r="L55" i="1" s="1"/>
  <c r="K107" i="1" l="1"/>
  <c r="K108" i="1" s="1"/>
  <c r="K105" i="1"/>
  <c r="K93" i="1"/>
  <c r="L96" i="1"/>
  <c r="L98" i="1"/>
  <c r="K22" i="1"/>
  <c r="K20" i="1"/>
  <c r="K56" i="1" s="1"/>
  <c r="M35" i="1"/>
  <c r="M61" i="1" s="1"/>
  <c r="M32" i="1"/>
  <c r="M60" i="1" s="1"/>
  <c r="N22" i="1"/>
  <c r="N20" i="1"/>
  <c r="N56" i="1" s="1"/>
  <c r="L25" i="1"/>
  <c r="L23" i="1"/>
  <c r="N17" i="1"/>
  <c r="N55" i="1" s="1"/>
  <c r="K17" i="1"/>
  <c r="K55" i="1" s="1"/>
  <c r="L99" i="1" l="1"/>
  <c r="L101" i="1"/>
  <c r="L57" i="1"/>
  <c r="K96" i="1"/>
  <c r="K99" i="1"/>
  <c r="L26" i="1"/>
  <c r="L28" i="1"/>
  <c r="N25" i="1"/>
  <c r="N28" i="1" s="1"/>
  <c r="N31" i="1" s="1"/>
  <c r="N34" i="1" s="1"/>
  <c r="N37" i="1" s="1"/>
  <c r="N40" i="1" s="1"/>
  <c r="N43" i="1" s="1"/>
  <c r="N23" i="1"/>
  <c r="K23" i="1"/>
  <c r="K25" i="1"/>
  <c r="K28" i="1" s="1"/>
  <c r="K31" i="1" s="1"/>
  <c r="K34" i="1" s="1"/>
  <c r="K37" i="1" s="1"/>
  <c r="K38" i="1" l="1"/>
  <c r="K62" i="1" s="1"/>
  <c r="K40" i="1"/>
  <c r="N38" i="1"/>
  <c r="N62" i="1" s="1"/>
  <c r="L29" i="1"/>
  <c r="L59" i="1" s="1"/>
  <c r="L31" i="1"/>
  <c r="L34" i="1" s="1"/>
  <c r="L102" i="1"/>
  <c r="L104" i="1"/>
  <c r="N57" i="1"/>
  <c r="K57" i="1"/>
  <c r="L58" i="1"/>
  <c r="N26" i="1"/>
  <c r="K26" i="1"/>
  <c r="K58" i="1" s="1"/>
  <c r="K41" i="1" l="1"/>
  <c r="K63" i="1" s="1"/>
  <c r="K43" i="1"/>
  <c r="K44" i="1" s="1"/>
  <c r="K64" i="1" s="1"/>
  <c r="L107" i="1"/>
  <c r="L108" i="1" s="1"/>
  <c r="L105" i="1"/>
  <c r="L37" i="1"/>
  <c r="L35" i="1"/>
  <c r="L61" i="1" s="1"/>
  <c r="N44" i="1"/>
  <c r="N64" i="1" s="1"/>
  <c r="N41" i="1"/>
  <c r="N63" i="1" s="1"/>
  <c r="N58" i="1"/>
  <c r="N29" i="1"/>
  <c r="N59" i="1" s="1"/>
  <c r="K29" i="1"/>
  <c r="K59" i="1" s="1"/>
  <c r="L32" i="1"/>
  <c r="L60" i="1" s="1"/>
  <c r="L40" i="1" l="1"/>
  <c r="L38" i="1"/>
  <c r="L62" i="1" s="1"/>
  <c r="K35" i="1"/>
  <c r="K61" i="1" s="1"/>
  <c r="K32" i="1"/>
  <c r="K60" i="1" s="1"/>
  <c r="N35" i="1"/>
  <c r="N61" i="1" s="1"/>
  <c r="N32" i="1"/>
  <c r="N60" i="1" s="1"/>
  <c r="L43" i="1" l="1"/>
  <c r="L44" i="1" s="1"/>
  <c r="L64" i="1" s="1"/>
  <c r="L41" i="1"/>
  <c r="L63" i="1" s="1"/>
</calcChain>
</file>

<file path=xl/sharedStrings.xml><?xml version="1.0" encoding="utf-8"?>
<sst xmlns="http://schemas.openxmlformats.org/spreadsheetml/2006/main" count="150" uniqueCount="78">
  <si>
    <t>Inbetriebnahme</t>
  </si>
  <si>
    <t>bis 40 kWp</t>
  </si>
  <si>
    <t>bis 10 kWp</t>
  </si>
  <si>
    <t>bis 750 kWp</t>
  </si>
  <si>
    <t>Monat</t>
  </si>
  <si>
    <t>Summe</t>
  </si>
  <si>
    <t>Rundung</t>
  </si>
  <si>
    <t>Vergütungssätze in Cent/kWh - Feste Einspeisevergütung:</t>
  </si>
  <si>
    <t xml:space="preserve">Eine PV-Anlage auf einem Wohngebäude nach § 48 Abs. 2 EEG hat drei anzulegende Werte, die stufenweise angewendet werden. </t>
  </si>
  <si>
    <t>=</t>
  </si>
  <si>
    <t>Ct / kWh</t>
  </si>
  <si>
    <t>Die ersten 10 kWp einer Anlage werden höher vergütet als die nächsten 30 kWp; und diese wiederum höher als die dritte Leistungsklasse.</t>
  </si>
  <si>
    <r>
      <t xml:space="preserve">Daraus ergibt sich für eine 100 kWp Anlage folgender Zahlungsanspruch </t>
    </r>
    <r>
      <rPr>
        <b/>
        <sz val="11"/>
        <rFont val="Calibri"/>
        <family val="2"/>
        <scheme val="minor"/>
      </rPr>
      <t>für die Direktvermarktung</t>
    </r>
    <r>
      <rPr>
        <sz val="11"/>
        <rFont val="Calibri"/>
        <family val="2"/>
        <scheme val="minor"/>
      </rPr>
      <t xml:space="preserve"> (Marktprämie nach § 20 EEG):</t>
    </r>
  </si>
  <si>
    <r>
      <t>AW</t>
    </r>
    <r>
      <rPr>
        <vertAlign val="subscript"/>
        <sz val="11"/>
        <rFont val="Calibri"/>
        <family val="2"/>
        <scheme val="minor"/>
      </rPr>
      <t>MP</t>
    </r>
    <r>
      <rPr>
        <sz val="11"/>
        <rFont val="Calibri"/>
        <family val="2"/>
        <scheme val="minor"/>
      </rPr>
      <t xml:space="preserve"> =</t>
    </r>
  </si>
  <si>
    <r>
      <t xml:space="preserve">Falls die 100 kWp PV-Anlage eine </t>
    </r>
    <r>
      <rPr>
        <b/>
        <sz val="11"/>
        <rFont val="Calibri"/>
        <family val="2"/>
        <scheme val="minor"/>
      </rPr>
      <t>feste Einspeisevergütung</t>
    </r>
    <r>
      <rPr>
        <sz val="11"/>
        <rFont val="Calibri"/>
        <family val="2"/>
        <scheme val="minor"/>
      </rPr>
      <t xml:space="preserve"> (nach § 21 Absatz 1 und 2 EEG) erhält, sind gemäß § 53 EEG von den anzulegenden Werten 0,4 Ct abzuziehen:</t>
    </r>
  </si>
  <si>
    <r>
      <t>AW</t>
    </r>
    <r>
      <rPr>
        <vertAlign val="subscript"/>
        <sz val="11"/>
        <rFont val="Calibri"/>
        <family val="2"/>
        <scheme val="minor"/>
      </rPr>
      <t>EV</t>
    </r>
    <r>
      <rPr>
        <sz val="11"/>
        <rFont val="Calibri"/>
        <family val="2"/>
        <scheme val="minor"/>
      </rPr>
      <t xml:space="preserve"> =</t>
    </r>
  </si>
  <si>
    <t>ab 01.01.2021</t>
  </si>
  <si>
    <r>
      <t>ab 01.01.2021</t>
    </r>
    <r>
      <rPr>
        <vertAlign val="superscript"/>
        <sz val="11"/>
        <rFont val="Arial"/>
        <family val="2"/>
      </rPr>
      <t xml:space="preserve"> 4</t>
    </r>
  </si>
  <si>
    <t>2) Festlegung der anzulegenden Werte nach § 48 EEG 2021</t>
  </si>
  <si>
    <t>ab 01.02.2021</t>
  </si>
  <si>
    <t>ab 01.03.2021</t>
  </si>
  <si>
    <t>ab 01.04.2021</t>
  </si>
  <si>
    <r>
      <t>ab 01.02.2021</t>
    </r>
    <r>
      <rPr>
        <vertAlign val="superscript"/>
        <sz val="11"/>
        <rFont val="Arial"/>
        <family val="2"/>
      </rPr>
      <t xml:space="preserve"> 4</t>
    </r>
  </si>
  <si>
    <r>
      <t>ab 01.03.2021</t>
    </r>
    <r>
      <rPr>
        <vertAlign val="superscript"/>
        <sz val="11"/>
        <rFont val="Arial"/>
        <family val="2"/>
      </rPr>
      <t xml:space="preserve"> 4</t>
    </r>
  </si>
  <si>
    <r>
      <t>ab 01.04.2021</t>
    </r>
    <r>
      <rPr>
        <vertAlign val="superscript"/>
        <sz val="11"/>
        <rFont val="Arial"/>
        <family val="2"/>
      </rPr>
      <t xml:space="preserve"> 4</t>
    </r>
  </si>
  <si>
    <r>
      <t xml:space="preserve">ab 01.01.2021 </t>
    </r>
    <r>
      <rPr>
        <vertAlign val="superscript"/>
        <sz val="11"/>
        <rFont val="Arial"/>
        <family val="2"/>
      </rPr>
      <t>2</t>
    </r>
  </si>
  <si>
    <r>
      <t>Degression</t>
    </r>
    <r>
      <rPr>
        <vertAlign val="superscript"/>
        <sz val="11"/>
        <rFont val="Arial"/>
        <family val="2"/>
      </rPr>
      <t xml:space="preserve"> 3</t>
    </r>
  </si>
  <si>
    <t>Anzulegende Werte für Solaranlagen in Cent/kWh</t>
  </si>
  <si>
    <r>
      <t xml:space="preserve">ab 01.01.2021 </t>
    </r>
    <r>
      <rPr>
        <vertAlign val="superscript"/>
        <sz val="11"/>
        <rFont val="Arial"/>
        <family val="2"/>
      </rPr>
      <t>5</t>
    </r>
  </si>
  <si>
    <t>5) Festlegung der anzulegenden Werte nach § 48a EEG 2021</t>
  </si>
  <si>
    <t>3) Degressionsberechnung nach § 49 EEG 2021</t>
  </si>
  <si>
    <t>Anzulegende Werte für den Mieterstromzuschlag in Cent/kWh</t>
  </si>
  <si>
    <t>bis 10 kW</t>
  </si>
  <si>
    <t>bis 40 kW</t>
  </si>
  <si>
    <t>bis 750 kW</t>
  </si>
  <si>
    <t>Anzulegende Werte in Cent/kWh - Marktprämienmodell:</t>
  </si>
  <si>
    <t>Bestimmung der anzulegenden Werte für Solaranlagen</t>
  </si>
  <si>
    <t xml:space="preserve">Zubau Bezugszeitraum * 4 = </t>
  </si>
  <si>
    <t>kW</t>
  </si>
  <si>
    <r>
      <t>Leistung (kW)</t>
    </r>
    <r>
      <rPr>
        <b/>
        <vertAlign val="superscript"/>
        <sz val="11"/>
        <rFont val="Arial"/>
        <family val="2"/>
      </rPr>
      <t xml:space="preserve"> 1</t>
    </r>
  </si>
  <si>
    <t>4) Degressionsberechnung nach § 49 EEG 2021 (anzulegender Wert siehe oben abzgl. 0,4 Cent/kWh nach § 53 Abs. 1 EEG 2021)</t>
  </si>
  <si>
    <t>Wohngebäude, Lärmschutzwände und 
Gebäude (§ 48 Abs. 2 EEG)</t>
  </si>
  <si>
    <t>Mieterstromzuschlag (§ 48a EEG)</t>
  </si>
  <si>
    <t>I. Brutto-Zubau von Solaranlagen, deren anzulegender Wert gesetzlich bestimmt worden ist:</t>
  </si>
  <si>
    <t>II. Brutto-Zubau im Bezugszeitraum nach § 49 Abs. 1 EEG wird auf ein Jahr hochgerechnet:</t>
  </si>
  <si>
    <r>
      <rPr>
        <sz val="11"/>
        <color theme="7" tint="-0.249977111117893"/>
        <rFont val="Calibri"/>
        <family val="2"/>
        <scheme val="minor"/>
      </rPr>
      <t>10 / 100 * 8,56</t>
    </r>
    <r>
      <rPr>
        <sz val="11"/>
        <rFont val="Calibri"/>
        <family val="2"/>
        <scheme val="minor"/>
      </rPr>
      <t xml:space="preserve"> + </t>
    </r>
    <r>
      <rPr>
        <sz val="11"/>
        <color theme="8" tint="-0.249977111117893"/>
        <rFont val="Calibri"/>
        <family val="2"/>
        <scheme val="minor"/>
      </rPr>
      <t>30 / 100 * 8,33</t>
    </r>
    <r>
      <rPr>
        <sz val="11"/>
        <rFont val="Calibri"/>
        <family val="2"/>
        <scheme val="minor"/>
      </rPr>
      <t xml:space="preserve"> + </t>
    </r>
    <r>
      <rPr>
        <sz val="11"/>
        <color theme="9" tint="-0.249977111117893"/>
        <rFont val="Calibri"/>
        <family val="2"/>
        <scheme val="minor"/>
      </rPr>
      <t>60 / 100 * 6,62</t>
    </r>
  </si>
  <si>
    <r>
      <rPr>
        <sz val="11"/>
        <color theme="7" tint="-0.249977111117893"/>
        <rFont val="Calibri"/>
        <family val="2"/>
        <scheme val="minor"/>
      </rPr>
      <t>10 / 100 * (8,56 - 0,4)</t>
    </r>
    <r>
      <rPr>
        <sz val="11"/>
        <rFont val="Calibri"/>
        <family val="2"/>
        <scheme val="minor"/>
      </rPr>
      <t xml:space="preserve"> + </t>
    </r>
    <r>
      <rPr>
        <sz val="11"/>
        <color theme="8" tint="-0.249977111117893"/>
        <rFont val="Calibri"/>
        <family val="2"/>
        <scheme val="minor"/>
      </rPr>
      <t xml:space="preserve">30 / 100 * (8,33 - 0,4) </t>
    </r>
    <r>
      <rPr>
        <sz val="11"/>
        <rFont val="Calibri"/>
        <family val="2"/>
        <scheme val="minor"/>
      </rPr>
      <t xml:space="preserve">+ </t>
    </r>
    <r>
      <rPr>
        <sz val="11"/>
        <color theme="9" tint="-0.249977111117893"/>
        <rFont val="Calibri"/>
        <family val="2"/>
        <scheme val="minor"/>
      </rPr>
      <t>60 / 100 * (6,62 - 0,4)</t>
    </r>
  </si>
  <si>
    <t>Sonstige Anlagen
 bis 750 kW
(§ 48 Abs. 1 EEG)</t>
  </si>
  <si>
    <t>bis 100 kW</t>
  </si>
  <si>
    <t>Der Zubau im Bezugszeitraum der Degressionsberechnung liegt um mehr als 1.000 MW über dem Referenzwert von 2.500 MW.</t>
  </si>
  <si>
    <r>
      <t>Die monatliche Absenkung nach § 49 Abs. 2 Nr. 2 EEG beträgt daher</t>
    </r>
    <r>
      <rPr>
        <b/>
        <sz val="11"/>
        <rFont val="Arial"/>
        <family val="2"/>
      </rPr>
      <t xml:space="preserve"> 1,4 </t>
    </r>
    <r>
      <rPr>
        <sz val="11"/>
        <rFont val="Arial"/>
        <family val="2"/>
      </rPr>
      <t>Prozent jeweils zum</t>
    </r>
  </si>
  <si>
    <t>ab 01.05.2021</t>
  </si>
  <si>
    <t>ab 01.06.2021</t>
  </si>
  <si>
    <t>ab 01.07.2021</t>
  </si>
  <si>
    <r>
      <t>ab 01.05.2021</t>
    </r>
    <r>
      <rPr>
        <vertAlign val="superscript"/>
        <sz val="11"/>
        <rFont val="Arial"/>
        <family val="2"/>
      </rPr>
      <t xml:space="preserve"> 4</t>
    </r>
  </si>
  <si>
    <r>
      <t>ab 01.06.2021</t>
    </r>
    <r>
      <rPr>
        <vertAlign val="superscript"/>
        <sz val="11"/>
        <rFont val="Arial"/>
        <family val="2"/>
      </rPr>
      <t xml:space="preserve"> 4</t>
    </r>
  </si>
  <si>
    <r>
      <t>ab 01.07.2021</t>
    </r>
    <r>
      <rPr>
        <vertAlign val="superscript"/>
        <sz val="11"/>
        <rFont val="Arial"/>
        <family val="2"/>
      </rPr>
      <t xml:space="preserve"> 4</t>
    </r>
  </si>
  <si>
    <t>Sonstige Anlagen
 bis 100 kW
(§ 48 Abs. 1 EEG)</t>
  </si>
  <si>
    <t>ab 01.08.2021</t>
  </si>
  <si>
    <t>ab 01.09.2021</t>
  </si>
  <si>
    <t>ab 01.10.2021</t>
  </si>
  <si>
    <r>
      <t>ab 01.08.2021</t>
    </r>
    <r>
      <rPr>
        <vertAlign val="superscript"/>
        <sz val="11"/>
        <rFont val="Arial"/>
        <family val="2"/>
      </rPr>
      <t xml:space="preserve"> 4</t>
    </r>
  </si>
  <si>
    <r>
      <t>ab 01.09.2021</t>
    </r>
    <r>
      <rPr>
        <vertAlign val="superscript"/>
        <sz val="11"/>
        <rFont val="Arial"/>
        <family val="2"/>
      </rPr>
      <t xml:space="preserve"> 4</t>
    </r>
  </si>
  <si>
    <r>
      <t>ab 01.10.2021</t>
    </r>
    <r>
      <rPr>
        <vertAlign val="superscript"/>
        <sz val="11"/>
        <rFont val="Arial"/>
        <family val="2"/>
      </rPr>
      <t xml:space="preserve"> 4</t>
    </r>
  </si>
  <si>
    <t>ab 01.11.2021</t>
  </si>
  <si>
    <t>ab 01.12.2021</t>
  </si>
  <si>
    <t>ab 01.01.2022</t>
  </si>
  <si>
    <r>
      <t>ab 01.11.2021</t>
    </r>
    <r>
      <rPr>
        <vertAlign val="superscript"/>
        <sz val="11"/>
        <rFont val="Arial"/>
        <family val="2"/>
      </rPr>
      <t xml:space="preserve"> 4</t>
    </r>
  </si>
  <si>
    <r>
      <t>ab 01.12.2021</t>
    </r>
    <r>
      <rPr>
        <vertAlign val="superscript"/>
        <sz val="11"/>
        <rFont val="Arial"/>
        <family val="2"/>
      </rPr>
      <t xml:space="preserve"> 4</t>
    </r>
  </si>
  <si>
    <r>
      <t>ab 01.01.2022</t>
    </r>
    <r>
      <rPr>
        <vertAlign val="superscript"/>
        <sz val="11"/>
        <rFont val="Arial"/>
        <family val="2"/>
      </rPr>
      <t xml:space="preserve"> 4</t>
    </r>
  </si>
  <si>
    <t>für die Kalendermonate November 2021, Dezember 2021 und Januar 2022</t>
  </si>
  <si>
    <t>1) Diese Werte werden gemäß § 19 MaStRV ermittelt und stellen den jeweils bei der Veröffentlichung der Meldungen im Marktstammdatenregister bekannten Datenstand zum 26.10.2021 dar, der unter dem folgenden Link zu finden ist:</t>
  </si>
  <si>
    <t>1. November 2021, 1. Dezember 2021 und 1. Januar 2022.</t>
  </si>
  <si>
    <t>Juli 2021</t>
  </si>
  <si>
    <t>August 2021</t>
  </si>
  <si>
    <t>September 2021</t>
  </si>
  <si>
    <t>https://www.bundesnetzagentur.de/DE/Sachgebiete/ElektrizitaetundGas/Unternehmen_Institutionen/ErneuerbareEnergien/ZahlenDatenInformationen/EEG_Registerdaten/start.html#doc732052bodyText1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</si>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</sst>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  <numFmt numFmtId="167" formatCode="#,##0.0"/>
    <numFmt numFmtId="168" formatCode="[$-407]mmmm\ yy;@"/>
    <numFmt numFmtId="169" formatCode="0.000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vertAlign val="subscript"/>
      <sz val="11"/>
      <name val="Calibri"/>
      <family val="2"/>
      <scheme val="minor"/>
    </font>
    <font>
      <b/>
      <vertAlign val="superscript"/>
      <sz val="11"/>
      <name val="Arial"/>
      <family val="2"/>
    </font>
    <font>
      <b/>
      <u/>
      <sz val="11"/>
      <name val="Arial"/>
      <family val="2"/>
    </font>
    <font>
      <i/>
      <sz val="9"/>
      <name val="Arial"/>
      <family val="2"/>
    </font>
    <font>
      <i/>
      <u/>
      <sz val="9"/>
      <color theme="10"/>
      <name val="Arial"/>
      <family val="2"/>
    </font>
    <font>
      <b/>
      <sz val="11"/>
      <color rgb="FF3F3F3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0" fontId="7" fillId="0" borderId="0" applyNumberFormat="0" applyFill="0" applyBorder="0" applyAlignment="0" applyProtection="0"/>
    <xf numFmtId="0" fontId="21" fillId="6" borderId="14" applyNumberFormat="0" applyAlignment="0" applyProtection="0"/>
  </cellStyleXfs>
  <cellXfs count="74">
    <xf numFmtId="0" fontId="0" fillId="0" borderId="0" xfId="0"/>
    <xf numFmtId="0" fontId="0" fillId="0" borderId="0" xfId="0" applyFill="1"/>
    <xf numFmtId="0" fontId="9" fillId="0" borderId="1" xfId="0" applyFont="1" applyFill="1" applyBorder="1" applyAlignment="1">
      <alignment horizontal="center"/>
    </xf>
    <xf numFmtId="0" fontId="9" fillId="0" borderId="3" xfId="3" applyFont="1" applyFill="1" applyBorder="1"/>
    <xf numFmtId="0" fontId="9" fillId="0" borderId="1" xfId="3" applyFont="1" applyFill="1" applyBorder="1"/>
    <xf numFmtId="2" fontId="9" fillId="0" borderId="3" xfId="3" applyNumberFormat="1" applyFont="1" applyFill="1" applyBorder="1" applyAlignment="1">
      <alignment horizontal="right"/>
    </xf>
    <xf numFmtId="2" fontId="9" fillId="0" borderId="1" xfId="0" applyNumberFormat="1" applyFont="1" applyFill="1" applyBorder="1" applyAlignment="1">
      <alignment horizontal="center"/>
    </xf>
    <xf numFmtId="0" fontId="5" fillId="0" borderId="0" xfId="0" applyFont="1" applyFill="1"/>
    <xf numFmtId="0" fontId="11" fillId="0" borderId="0" xfId="0" applyFont="1"/>
    <xf numFmtId="0" fontId="11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1" fillId="0" borderId="0" xfId="0" applyFont="1" applyAlignment="1">
      <alignment horizontal="right"/>
    </xf>
    <xf numFmtId="0" fontId="11" fillId="0" borderId="0" xfId="0" quotePrefix="1" applyFont="1" applyFill="1" applyBorder="1" applyAlignment="1">
      <alignment horizontal="right"/>
    </xf>
    <xf numFmtId="2" fontId="11" fillId="0" borderId="0" xfId="0" applyNumberFormat="1" applyFont="1"/>
    <xf numFmtId="0" fontId="12" fillId="2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5" borderId="1" xfId="0" applyFont="1" applyFill="1" applyBorder="1"/>
    <xf numFmtId="169" fontId="9" fillId="0" borderId="4" xfId="3" applyNumberFormat="1" applyFont="1" applyFill="1" applyBorder="1" applyAlignment="1">
      <alignment horizontal="right"/>
    </xf>
    <xf numFmtId="0" fontId="9" fillId="0" borderId="0" xfId="0" applyFont="1" applyFill="1"/>
    <xf numFmtId="0" fontId="4" fillId="0" borderId="1" xfId="0" applyFont="1" applyFill="1" applyBorder="1"/>
    <xf numFmtId="0" fontId="4" fillId="0" borderId="0" xfId="0" applyFont="1" applyFill="1" applyAlignment="1">
      <alignment horizontal="center"/>
    </xf>
    <xf numFmtId="167" fontId="9" fillId="0" borderId="0" xfId="0" applyNumberFormat="1" applyFont="1" applyFill="1"/>
    <xf numFmtId="49" fontId="4" fillId="0" borderId="1" xfId="0" applyNumberFormat="1" applyFont="1" applyFill="1" applyBorder="1"/>
    <xf numFmtId="49" fontId="4" fillId="0" borderId="0" xfId="0" applyNumberFormat="1" applyFont="1" applyFill="1" applyBorder="1" applyAlignment="1">
      <alignment vertical="top" wrapText="1"/>
    </xf>
    <xf numFmtId="0" fontId="11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9" fillId="0" borderId="0" xfId="0" applyFont="1" applyFill="1" applyBorder="1"/>
    <xf numFmtId="0" fontId="9" fillId="0" borderId="2" xfId="3" applyFont="1" applyFill="1" applyBorder="1"/>
    <xf numFmtId="169" fontId="9" fillId="0" borderId="2" xfId="3" applyNumberFormat="1" applyFont="1" applyFill="1" applyBorder="1" applyAlignment="1">
      <alignment horizontal="right"/>
    </xf>
    <xf numFmtId="0" fontId="9" fillId="0" borderId="4" xfId="3" applyFont="1" applyFill="1" applyBorder="1"/>
    <xf numFmtId="168" fontId="9" fillId="0" borderId="1" xfId="0" applyNumberFormat="1" applyFont="1" applyFill="1" applyBorder="1" applyAlignment="1">
      <alignment horizontal="left"/>
    </xf>
    <xf numFmtId="165" fontId="4" fillId="0" borderId="0" xfId="1" applyNumberFormat="1" applyFont="1" applyFill="1"/>
    <xf numFmtId="0" fontId="21" fillId="0" borderId="0" xfId="6" applyFill="1" applyBorder="1"/>
    <xf numFmtId="0" fontId="9" fillId="0" borderId="0" xfId="0" applyFont="1" applyFill="1" applyAlignment="1">
      <alignment horizontal="left"/>
    </xf>
    <xf numFmtId="3" fontId="9" fillId="0" borderId="1" xfId="0" applyNumberFormat="1" applyFont="1" applyFill="1" applyBorder="1" applyAlignment="1">
      <alignment horizontal="right" indent="1"/>
    </xf>
    <xf numFmtId="3" fontId="4" fillId="0" borderId="1" xfId="0" applyNumberFormat="1" applyFont="1" applyFill="1" applyBorder="1" applyAlignment="1">
      <alignment horizontal="right" indent="1"/>
    </xf>
    <xf numFmtId="166" fontId="9" fillId="0" borderId="5" xfId="3" applyNumberFormat="1" applyFont="1" applyFill="1" applyBorder="1" applyAlignment="1">
      <alignment horizontal="center"/>
    </xf>
    <xf numFmtId="166" fontId="9" fillId="0" borderId="6" xfId="3" applyNumberFormat="1" applyFont="1" applyFill="1" applyBorder="1" applyAlignment="1">
      <alignment horizontal="center"/>
    </xf>
    <xf numFmtId="166" fontId="9" fillId="0" borderId="7" xfId="3" applyNumberFormat="1" applyFont="1" applyFill="1" applyBorder="1" applyAlignment="1">
      <alignment horizontal="center"/>
    </xf>
    <xf numFmtId="0" fontId="9" fillId="0" borderId="0" xfId="0" applyFont="1" applyFill="1" applyAlignment="1">
      <alignment horizontal="left" vertical="top" wrapText="1"/>
    </xf>
    <xf numFmtId="49" fontId="18" fillId="0" borderId="0" xfId="0" applyNumberFormat="1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/>
    </xf>
    <xf numFmtId="0" fontId="9" fillId="0" borderId="0" xfId="0" applyFont="1" applyFill="1" applyAlignment="1">
      <alignment horizontal="left"/>
    </xf>
    <xf numFmtId="0" fontId="19" fillId="0" borderId="9" xfId="3" applyFont="1" applyFill="1" applyBorder="1" applyAlignment="1">
      <alignment horizontal="left"/>
    </xf>
    <xf numFmtId="0" fontId="19" fillId="0" borderId="0" xfId="3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 wrapText="1"/>
    </xf>
    <xf numFmtId="0" fontId="9" fillId="0" borderId="9" xfId="0" applyFont="1" applyFill="1" applyBorder="1" applyAlignment="1">
      <alignment horizontal="center" wrapText="1"/>
    </xf>
    <xf numFmtId="0" fontId="9" fillId="0" borderId="10" xfId="0" applyFont="1" applyFill="1" applyBorder="1" applyAlignment="1">
      <alignment horizontal="center" wrapText="1"/>
    </xf>
    <xf numFmtId="0" fontId="9" fillId="0" borderId="11" xfId="0" applyFont="1" applyFill="1" applyBorder="1" applyAlignment="1">
      <alignment horizontal="center" wrapText="1"/>
    </xf>
    <xf numFmtId="0" fontId="9" fillId="0" borderId="12" xfId="0" applyFont="1" applyFill="1" applyBorder="1" applyAlignment="1">
      <alignment horizontal="center" wrapText="1"/>
    </xf>
    <xf numFmtId="0" fontId="9" fillId="0" borderId="13" xfId="0" applyFont="1" applyFill="1" applyBorder="1" applyAlignment="1">
      <alignment horizont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9" fillId="0" borderId="0" xfId="0" quotePrefix="1" applyFont="1" applyFill="1" applyAlignment="1">
      <alignment horizontal="left" vertical="top" wrapText="1"/>
    </xf>
    <xf numFmtId="0" fontId="20" fillId="0" borderId="0" xfId="5" applyFont="1" applyFill="1" applyAlignment="1">
      <alignment horizontal="left" vertical="top" wrapText="1"/>
    </xf>
    <xf numFmtId="0" fontId="19" fillId="0" borderId="9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left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</cellXfs>
  <cellStyles count="7">
    <cellStyle name="Comma" xfId="1" builtinId="3"/>
    <cellStyle name="Hyperlink" xfId="5" builtinId="8"/>
    <cellStyle name="Normal" xfId="0" builtinId="0"/>
    <cellStyle name="Output" xfId="6" builtinId="21"/>
    <cellStyle name="Prozent 2" xfId="2" xr:uid="{00000000-0005-0000-0000-000003000000}"/>
    <cellStyle name="Standard 2" xfId="3" xr:uid="{00000000-0005-0000-0000-000005000000}"/>
    <cellStyle name="Standard 3" xfId="4" xr:uid="{00000000-0005-0000-0000-000006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N110"/>
  <sheetViews>
    <sheetView showGridLines="0" topLeftCell="A40" zoomScale="110" zoomScaleNormal="110" workbookViewId="0">
      <selection activeCell="F76" sqref="F76"/>
    </sheetView>
  </sheetViews>
  <sheetFormatPr defaultColWidth="11.42578125" defaultRowHeight="15" customHeight="1" x14ac:dyDescent="0.2"/>
  <cols>
    <col min="1" max="1" width="2.85546875" style="1" customWidth="1"/>
    <col min="2" max="7" width="17.140625" style="1" customWidth="1"/>
    <col min="8" max="9" width="5.7109375" style="1" customWidth="1"/>
    <col min="10" max="10" width="30" style="1" customWidth="1"/>
    <col min="11" max="13" width="15.7109375" style="1" customWidth="1"/>
    <col min="14" max="14" width="28.5703125" style="1" customWidth="1"/>
    <col min="15" max="16384" width="11.42578125" style="1"/>
  </cols>
  <sheetData>
    <row r="1" spans="1:14" ht="15" customHeight="1" x14ac:dyDescent="0.25">
      <c r="A1" s="35"/>
    </row>
    <row r="2" spans="1:14" ht="15" customHeight="1" x14ac:dyDescent="0.25">
      <c r="B2" s="48" t="s">
        <v>36</v>
      </c>
      <c r="C2" s="48"/>
      <c r="D2" s="48"/>
      <c r="E2" s="48"/>
      <c r="F2" s="48"/>
      <c r="G2" s="48"/>
      <c r="J2" s="48" t="s">
        <v>27</v>
      </c>
      <c r="K2" s="48"/>
      <c r="L2" s="48"/>
      <c r="M2" s="48"/>
      <c r="N2" s="48"/>
    </row>
    <row r="3" spans="1:14" ht="15" customHeight="1" x14ac:dyDescent="0.25">
      <c r="B3" s="48" t="s">
        <v>70</v>
      </c>
      <c r="C3" s="48"/>
      <c r="D3" s="48"/>
      <c r="E3" s="48"/>
      <c r="F3" s="48"/>
      <c r="G3" s="48"/>
    </row>
    <row r="4" spans="1:14" ht="15" customHeight="1" x14ac:dyDescent="0.25">
      <c r="B4" s="7"/>
      <c r="J4" s="49" t="s">
        <v>35</v>
      </c>
      <c r="K4" s="50"/>
      <c r="L4" s="50"/>
      <c r="M4" s="50"/>
      <c r="N4" s="51"/>
    </row>
    <row r="5" spans="1:14" ht="15" customHeight="1" x14ac:dyDescent="0.2">
      <c r="B5" s="43" t="s">
        <v>43</v>
      </c>
      <c r="C5" s="43"/>
      <c r="D5" s="43"/>
      <c r="E5" s="43"/>
      <c r="F5" s="43"/>
      <c r="G5" s="43"/>
      <c r="J5" s="58" t="s">
        <v>0</v>
      </c>
      <c r="K5" s="52" t="s">
        <v>41</v>
      </c>
      <c r="L5" s="53"/>
      <c r="M5" s="54"/>
      <c r="N5" s="61" t="s">
        <v>47</v>
      </c>
    </row>
    <row r="6" spans="1:14" ht="15" customHeight="1" x14ac:dyDescent="0.2">
      <c r="B6" s="21"/>
      <c r="C6" s="21"/>
      <c r="D6" s="21"/>
      <c r="E6" s="21"/>
      <c r="F6" s="21"/>
      <c r="G6" s="21"/>
      <c r="J6" s="59"/>
      <c r="K6" s="55"/>
      <c r="L6" s="56"/>
      <c r="M6" s="57"/>
      <c r="N6" s="62"/>
    </row>
    <row r="7" spans="1:14" ht="15" customHeight="1" x14ac:dyDescent="0.25">
      <c r="B7" s="22" t="s">
        <v>4</v>
      </c>
      <c r="C7" s="28" t="s">
        <v>39</v>
      </c>
      <c r="D7" s="23"/>
      <c r="E7" s="23"/>
      <c r="F7" s="21"/>
      <c r="G7" s="21"/>
      <c r="J7" s="60"/>
      <c r="K7" s="2" t="s">
        <v>32</v>
      </c>
      <c r="L7" s="2" t="s">
        <v>33</v>
      </c>
      <c r="M7" s="2" t="s">
        <v>34</v>
      </c>
      <c r="N7" s="63"/>
    </row>
    <row r="8" spans="1:14" ht="15" customHeight="1" x14ac:dyDescent="0.2">
      <c r="B8" s="33" t="s">
        <v>73</v>
      </c>
      <c r="C8" s="37">
        <v>307326.20999999886</v>
      </c>
      <c r="D8" s="24"/>
      <c r="E8" s="24"/>
      <c r="F8" s="21"/>
      <c r="G8" s="21"/>
      <c r="J8" s="30" t="s">
        <v>25</v>
      </c>
      <c r="K8" s="31">
        <v>8.56</v>
      </c>
      <c r="L8" s="31">
        <v>8.33</v>
      </c>
      <c r="M8" s="31">
        <v>6.62</v>
      </c>
      <c r="N8" s="31">
        <v>6.01</v>
      </c>
    </row>
    <row r="9" spans="1:14" ht="15" customHeight="1" x14ac:dyDescent="0.2">
      <c r="B9" s="33" t="s">
        <v>74</v>
      </c>
      <c r="C9" s="37">
        <v>293569.6569999989</v>
      </c>
      <c r="D9" s="24"/>
      <c r="E9" s="24"/>
      <c r="F9" s="21"/>
      <c r="G9" s="21"/>
      <c r="J9" s="4" t="s">
        <v>26</v>
      </c>
      <c r="K9" s="39">
        <v>1.4E-2</v>
      </c>
      <c r="L9" s="40"/>
      <c r="M9" s="40"/>
      <c r="N9" s="41"/>
    </row>
    <row r="10" spans="1:14" ht="15" customHeight="1" x14ac:dyDescent="0.2">
      <c r="B10" s="33" t="s">
        <v>75</v>
      </c>
      <c r="C10" s="37">
        <v>321648.74799999839</v>
      </c>
      <c r="D10" s="24"/>
      <c r="E10" s="24"/>
      <c r="F10" s="21"/>
      <c r="G10" s="21"/>
      <c r="J10" s="32" t="s">
        <v>19</v>
      </c>
      <c r="K10" s="20">
        <f>K8*(1-$K9)</f>
        <v>8.4401600000000006</v>
      </c>
      <c r="L10" s="20">
        <f>L8*(1-$K9)</f>
        <v>8.2133800000000008</v>
      </c>
      <c r="M10" s="20">
        <f>M8*(1-$K9)</f>
        <v>6.5273200000000005</v>
      </c>
      <c r="N10" s="20">
        <f>N8*(1-$K9)</f>
        <v>5.9258600000000001</v>
      </c>
    </row>
    <row r="11" spans="1:14" ht="15" customHeight="1" x14ac:dyDescent="0.25">
      <c r="B11" s="25" t="s">
        <v>5</v>
      </c>
      <c r="C11" s="38">
        <f>SUM(C8:C10)</f>
        <v>922544.61499999615</v>
      </c>
      <c r="D11" s="24"/>
      <c r="E11" s="24"/>
      <c r="F11" s="21"/>
      <c r="G11" s="21"/>
      <c r="J11" s="3" t="s">
        <v>6</v>
      </c>
      <c r="K11" s="5">
        <f>ROUND(K10,2)</f>
        <v>8.44</v>
      </c>
      <c r="L11" s="5">
        <f>ROUND(L10,2)</f>
        <v>8.2100000000000009</v>
      </c>
      <c r="M11" s="5">
        <f>ROUND(M10,2)</f>
        <v>6.53</v>
      </c>
      <c r="N11" s="5">
        <f>ROUND(N10,2)</f>
        <v>5.93</v>
      </c>
    </row>
    <row r="12" spans="1:14" ht="15" customHeight="1" x14ac:dyDescent="0.2">
      <c r="B12" s="64" t="s">
        <v>71</v>
      </c>
      <c r="C12" s="64"/>
      <c r="D12" s="64"/>
      <c r="E12" s="64"/>
      <c r="F12" s="64"/>
      <c r="G12" s="64"/>
      <c r="J12" s="4" t="s">
        <v>26</v>
      </c>
      <c r="K12" s="39">
        <v>1.4E-2</v>
      </c>
      <c r="L12" s="40"/>
      <c r="M12" s="40"/>
      <c r="N12" s="41"/>
    </row>
    <row r="13" spans="1:14" ht="15" customHeight="1" x14ac:dyDescent="0.2">
      <c r="B13" s="64"/>
      <c r="C13" s="64"/>
      <c r="D13" s="64"/>
      <c r="E13" s="64"/>
      <c r="F13" s="64"/>
      <c r="G13" s="64"/>
      <c r="J13" s="32" t="s">
        <v>20</v>
      </c>
      <c r="K13" s="20">
        <f>K10*(1-$K12)</f>
        <v>8.3219977600000004</v>
      </c>
      <c r="L13" s="20">
        <f>L10*(1-$K12)</f>
        <v>8.0983926799999999</v>
      </c>
      <c r="M13" s="20">
        <f>M10*(1-$K12)</f>
        <v>6.4359375200000004</v>
      </c>
      <c r="N13" s="20">
        <f>N10*(1-$K12)</f>
        <v>5.8428979600000002</v>
      </c>
    </row>
    <row r="14" spans="1:14" ht="15" customHeight="1" x14ac:dyDescent="0.2">
      <c r="B14" s="65" t="s">
        <v>76</v>
      </c>
      <c r="C14" s="65"/>
      <c r="D14" s="65"/>
      <c r="E14" s="65"/>
      <c r="F14" s="65"/>
      <c r="G14" s="65"/>
      <c r="J14" s="3" t="s">
        <v>6</v>
      </c>
      <c r="K14" s="5">
        <f>ROUND(K13,2)</f>
        <v>8.32</v>
      </c>
      <c r="L14" s="5">
        <f>ROUND(L13,2)</f>
        <v>8.1</v>
      </c>
      <c r="M14" s="5">
        <f>ROUND(M13,2)</f>
        <v>6.44</v>
      </c>
      <c r="N14" s="5">
        <f>ROUND(N13,2)</f>
        <v>5.84</v>
      </c>
    </row>
    <row r="15" spans="1:14" ht="15" customHeight="1" x14ac:dyDescent="0.2">
      <c r="B15" s="65"/>
      <c r="C15" s="65"/>
      <c r="D15" s="65"/>
      <c r="E15" s="65"/>
      <c r="F15" s="65"/>
      <c r="G15" s="65"/>
      <c r="J15" s="4" t="s">
        <v>26</v>
      </c>
      <c r="K15" s="39">
        <v>1.4E-2</v>
      </c>
      <c r="L15" s="40"/>
      <c r="M15" s="40"/>
      <c r="N15" s="41"/>
    </row>
    <row r="16" spans="1:14" ht="14.25" customHeight="1" x14ac:dyDescent="0.2">
      <c r="J16" s="32" t="s">
        <v>21</v>
      </c>
      <c r="K16" s="20">
        <f>K13*(1-$K15)</f>
        <v>8.2054897913599998</v>
      </c>
      <c r="L16" s="20">
        <f>L13*(1-$K15)</f>
        <v>7.9850151824799998</v>
      </c>
      <c r="M16" s="20">
        <f>M13*(1-$K15)</f>
        <v>6.3458343947200007</v>
      </c>
      <c r="N16" s="20">
        <f>N13*(1-$K15)</f>
        <v>5.7610973885600005</v>
      </c>
    </row>
    <row r="17" spans="2:14" ht="15" customHeight="1" x14ac:dyDescent="0.2">
      <c r="B17" s="43" t="s">
        <v>44</v>
      </c>
      <c r="C17" s="43"/>
      <c r="D17" s="43"/>
      <c r="E17" s="43"/>
      <c r="F17" s="43"/>
      <c r="G17" s="43"/>
      <c r="J17" s="3" t="s">
        <v>6</v>
      </c>
      <c r="K17" s="5">
        <f>ROUND(K16,2)</f>
        <v>8.2100000000000009</v>
      </c>
      <c r="L17" s="5">
        <f>ROUND(L16,2)</f>
        <v>7.99</v>
      </c>
      <c r="M17" s="5">
        <f>ROUND(M16,2)</f>
        <v>6.35</v>
      </c>
      <c r="N17" s="5">
        <f>ROUND(N16,2)</f>
        <v>5.76</v>
      </c>
    </row>
    <row r="18" spans="2:14" ht="15" customHeight="1" x14ac:dyDescent="0.2">
      <c r="B18" s="26"/>
      <c r="C18" s="26"/>
      <c r="D18" s="26"/>
      <c r="E18" s="26"/>
      <c r="F18" s="26"/>
      <c r="G18" s="26"/>
      <c r="J18" s="4" t="s">
        <v>26</v>
      </c>
      <c r="K18" s="39">
        <v>1.4E-2</v>
      </c>
      <c r="L18" s="40"/>
      <c r="M18" s="40"/>
      <c r="N18" s="41"/>
    </row>
    <row r="19" spans="2:14" ht="15" customHeight="1" x14ac:dyDescent="0.25">
      <c r="B19" s="45" t="s">
        <v>37</v>
      </c>
      <c r="C19" s="45"/>
      <c r="D19" s="34">
        <f>C11*4</f>
        <v>3690178.4599999846</v>
      </c>
      <c r="E19" s="29" t="s">
        <v>38</v>
      </c>
      <c r="J19" s="32" t="s">
        <v>51</v>
      </c>
      <c r="K19" s="20">
        <f>K16*(1-$K18)</f>
        <v>8.0906129342809603</v>
      </c>
      <c r="L19" s="20">
        <f t="shared" ref="L19:N19" si="0">L16*(1-$K18)</f>
        <v>7.8732249699252801</v>
      </c>
      <c r="M19" s="20">
        <f t="shared" si="0"/>
        <v>6.2569927131939203</v>
      </c>
      <c r="N19" s="20">
        <f t="shared" si="0"/>
        <v>5.6804420251201604</v>
      </c>
    </row>
    <row r="20" spans="2:14" ht="15" customHeight="1" x14ac:dyDescent="0.2">
      <c r="J20" s="3" t="s">
        <v>6</v>
      </c>
      <c r="K20" s="5">
        <f>ROUND(K19,2)</f>
        <v>8.09</v>
      </c>
      <c r="L20" s="5">
        <f>ROUND(L19,2)</f>
        <v>7.87</v>
      </c>
      <c r="M20" s="5">
        <f>ROUND(M19,2)</f>
        <v>6.26</v>
      </c>
      <c r="N20" s="5">
        <f>ROUND(N19,2)</f>
        <v>5.68</v>
      </c>
    </row>
    <row r="21" spans="2:14" ht="15" customHeight="1" x14ac:dyDescent="0.2">
      <c r="B21" s="42" t="s">
        <v>49</v>
      </c>
      <c r="C21" s="42"/>
      <c r="D21" s="42"/>
      <c r="E21" s="42"/>
      <c r="F21" s="42"/>
      <c r="G21" s="42"/>
      <c r="J21" s="4" t="s">
        <v>26</v>
      </c>
      <c r="K21" s="39">
        <v>1.4E-2</v>
      </c>
      <c r="L21" s="40"/>
      <c r="M21" s="40"/>
      <c r="N21" s="41"/>
    </row>
    <row r="22" spans="2:14" ht="15" customHeight="1" x14ac:dyDescent="0.2">
      <c r="B22" s="42"/>
      <c r="C22" s="42"/>
      <c r="D22" s="42"/>
      <c r="E22" s="42"/>
      <c r="F22" s="42"/>
      <c r="G22" s="42"/>
      <c r="J22" s="32" t="s">
        <v>52</v>
      </c>
      <c r="K22" s="20">
        <f>K19*(1-$K21)</f>
        <v>7.9773443532010271</v>
      </c>
      <c r="L22" s="20">
        <f>L19*(1-$K21)</f>
        <v>7.7629998203463257</v>
      </c>
      <c r="M22" s="20">
        <f>M19*(1-$K21)</f>
        <v>6.1693948152092055</v>
      </c>
      <c r="N22" s="20">
        <f>N19*(1-$K21)</f>
        <v>5.6009158367684782</v>
      </c>
    </row>
    <row r="23" spans="2:14" ht="15" customHeight="1" x14ac:dyDescent="0.2">
      <c r="J23" s="3" t="s">
        <v>6</v>
      </c>
      <c r="K23" s="5">
        <f>ROUND(K22,2)</f>
        <v>7.98</v>
      </c>
      <c r="L23" s="5">
        <f>ROUND(L22,2)</f>
        <v>7.76</v>
      </c>
      <c r="M23" s="5">
        <f>ROUND(M22,2)</f>
        <v>6.17</v>
      </c>
      <c r="N23" s="5">
        <f>ROUND(N22,2)</f>
        <v>5.6</v>
      </c>
    </row>
    <row r="24" spans="2:14" ht="15" customHeight="1" x14ac:dyDescent="0.25">
      <c r="B24" s="36" t="s">
        <v>50</v>
      </c>
      <c r="C24" s="36"/>
      <c r="D24" s="36"/>
      <c r="E24" s="36"/>
      <c r="F24" s="36"/>
      <c r="G24" s="36"/>
      <c r="J24" s="4" t="s">
        <v>26</v>
      </c>
      <c r="K24" s="39">
        <v>1.4E-2</v>
      </c>
      <c r="L24" s="40"/>
      <c r="M24" s="40"/>
      <c r="N24" s="41"/>
    </row>
    <row r="25" spans="2:14" ht="15" customHeight="1" x14ac:dyDescent="0.2">
      <c r="B25" s="44" t="s">
        <v>72</v>
      </c>
      <c r="C25" s="44"/>
      <c r="D25" s="44"/>
      <c r="E25" s="44"/>
      <c r="F25" s="44"/>
      <c r="G25" s="44"/>
      <c r="J25" s="32" t="s">
        <v>53</v>
      </c>
      <c r="K25" s="20">
        <f>K22*(1-$K24)</f>
        <v>7.8656615322562127</v>
      </c>
      <c r="L25" s="20">
        <f>L22*(1-$K24)</f>
        <v>7.6543178228614774</v>
      </c>
      <c r="M25" s="20">
        <f>M22*(1-$K24)</f>
        <v>6.0830232877962764</v>
      </c>
      <c r="N25" s="20">
        <f>N22*(1-$K24)</f>
        <v>5.5225030150537195</v>
      </c>
    </row>
    <row r="26" spans="2:14" ht="15" customHeight="1" x14ac:dyDescent="0.2">
      <c r="J26" s="3" t="s">
        <v>6</v>
      </c>
      <c r="K26" s="5">
        <f>ROUND(K25,2)</f>
        <v>7.87</v>
      </c>
      <c r="L26" s="5">
        <f>ROUND(L25,2)</f>
        <v>7.65</v>
      </c>
      <c r="M26" s="5">
        <f>ROUND(M25,2)</f>
        <v>6.08</v>
      </c>
      <c r="N26" s="5">
        <f>ROUND(N25,2)</f>
        <v>5.52</v>
      </c>
    </row>
    <row r="27" spans="2:14" ht="15" customHeight="1" x14ac:dyDescent="0.2">
      <c r="J27" s="4" t="s">
        <v>26</v>
      </c>
      <c r="K27" s="39">
        <v>1.4E-2</v>
      </c>
      <c r="L27" s="40"/>
      <c r="M27" s="40"/>
      <c r="N27" s="41"/>
    </row>
    <row r="28" spans="2:14" ht="15" customHeight="1" x14ac:dyDescent="0.2">
      <c r="B28"/>
      <c r="C28"/>
      <c r="D28"/>
      <c r="J28" s="32" t="s">
        <v>58</v>
      </c>
      <c r="K28" s="20">
        <f>K25*(1-$K27)</f>
        <v>7.755542270804626</v>
      </c>
      <c r="L28" s="20">
        <f t="shared" ref="L28" si="1">L25*(1-$K27)</f>
        <v>7.5471573733414168</v>
      </c>
      <c r="M28" s="20">
        <f>M25*(1-$K27)</f>
        <v>5.9978609617671284</v>
      </c>
      <c r="N28" s="20">
        <f>N25*(1-$K27)</f>
        <v>5.4451879728429677</v>
      </c>
    </row>
    <row r="29" spans="2:14" ht="15" customHeight="1" x14ac:dyDescent="0.2">
      <c r="J29" s="3" t="s">
        <v>6</v>
      </c>
      <c r="K29" s="5">
        <f>ROUND(K28,2)</f>
        <v>7.76</v>
      </c>
      <c r="L29" s="5">
        <f>ROUND(L28,2)</f>
        <v>7.55</v>
      </c>
      <c r="M29" s="5">
        <f>ROUND(M28,2)</f>
        <v>6</v>
      </c>
      <c r="N29" s="5">
        <f>ROUND(N28,2)</f>
        <v>5.45</v>
      </c>
    </row>
    <row r="30" spans="2:14" ht="15" customHeight="1" x14ac:dyDescent="0.2">
      <c r="J30" s="4" t="s">
        <v>26</v>
      </c>
      <c r="K30" s="39">
        <v>1.4E-2</v>
      </c>
      <c r="L30" s="40"/>
      <c r="M30" s="40"/>
      <c r="N30" s="41"/>
    </row>
    <row r="31" spans="2:14" ht="15" customHeight="1" x14ac:dyDescent="0.2">
      <c r="J31" s="32" t="s">
        <v>59</v>
      </c>
      <c r="K31" s="20">
        <f>K28*(1-$K30)</f>
        <v>7.6469646790133607</v>
      </c>
      <c r="L31" s="20">
        <f>L28*(1-$K30)</f>
        <v>7.4414971701146371</v>
      </c>
      <c r="M31" s="20">
        <f>M28*(1-$K30)</f>
        <v>5.9138909083023883</v>
      </c>
      <c r="N31" s="20">
        <f>N28*(1-$K30)</f>
        <v>5.3689553412231659</v>
      </c>
    </row>
    <row r="32" spans="2:14" ht="15" customHeight="1" x14ac:dyDescent="0.2">
      <c r="J32" s="3" t="s">
        <v>6</v>
      </c>
      <c r="K32" s="5">
        <f>ROUND(K31,2)</f>
        <v>7.65</v>
      </c>
      <c r="L32" s="5">
        <f>ROUND(L31,2)</f>
        <v>7.44</v>
      </c>
      <c r="M32" s="5">
        <f>ROUND(M31,2)</f>
        <v>5.91</v>
      </c>
      <c r="N32" s="5">
        <f>ROUND(N31,2)</f>
        <v>5.37</v>
      </c>
    </row>
    <row r="33" spans="10:14" ht="15" customHeight="1" x14ac:dyDescent="0.2">
      <c r="J33" s="4" t="s">
        <v>26</v>
      </c>
      <c r="K33" s="39">
        <v>1.4E-2</v>
      </c>
      <c r="L33" s="40"/>
      <c r="M33" s="40"/>
      <c r="N33" s="41"/>
    </row>
    <row r="34" spans="10:14" ht="15" customHeight="1" x14ac:dyDescent="0.2">
      <c r="J34" s="32" t="s">
        <v>60</v>
      </c>
      <c r="K34" s="20">
        <f>K31*(1-$K33)</f>
        <v>7.5399071735071734</v>
      </c>
      <c r="L34" s="20">
        <f>L31*(1-$K33)</f>
        <v>7.3373162097330322</v>
      </c>
      <c r="M34" s="20">
        <f>M31*(1-$K33)</f>
        <v>5.8310964355861552</v>
      </c>
      <c r="N34" s="20">
        <f>N31*(1-$K33)</f>
        <v>5.2937899664460417</v>
      </c>
    </row>
    <row r="35" spans="10:14" ht="15" customHeight="1" x14ac:dyDescent="0.2">
      <c r="J35" s="3" t="s">
        <v>6</v>
      </c>
      <c r="K35" s="5">
        <f>ROUND(K34,2)</f>
        <v>7.54</v>
      </c>
      <c r="L35" s="5">
        <f>ROUND(L34,2)</f>
        <v>7.34</v>
      </c>
      <c r="M35" s="5">
        <f>ROUND(M34,2)</f>
        <v>5.83</v>
      </c>
      <c r="N35" s="5">
        <f>ROUND(N34,2)</f>
        <v>5.29</v>
      </c>
    </row>
    <row r="36" spans="10:14" ht="15" customHeight="1" x14ac:dyDescent="0.2">
      <c r="J36" s="4" t="s">
        <v>26</v>
      </c>
      <c r="K36" s="39">
        <v>1.4E-2</v>
      </c>
      <c r="L36" s="40"/>
      <c r="M36" s="40"/>
      <c r="N36" s="41"/>
    </row>
    <row r="37" spans="10:14" ht="15" customHeight="1" x14ac:dyDescent="0.2">
      <c r="J37" s="32" t="s">
        <v>64</v>
      </c>
      <c r="K37" s="20">
        <f>K34*(1-$K36)</f>
        <v>7.4343484730780727</v>
      </c>
      <c r="L37" s="20">
        <f t="shared" ref="L37" si="2">L34*(1-$K36)</f>
        <v>7.2345937827967699</v>
      </c>
      <c r="M37" s="20">
        <f>M34*(1-$K36)</f>
        <v>5.7494610854879493</v>
      </c>
      <c r="N37" s="20">
        <f>N34*(1-$K36)</f>
        <v>5.2196769069157973</v>
      </c>
    </row>
    <row r="38" spans="10:14" ht="15" customHeight="1" x14ac:dyDescent="0.2">
      <c r="J38" s="3" t="s">
        <v>6</v>
      </c>
      <c r="K38" s="5">
        <f>ROUND(K37,2)</f>
        <v>7.43</v>
      </c>
      <c r="L38" s="5">
        <f>ROUND(L37,2)</f>
        <v>7.23</v>
      </c>
      <c r="M38" s="5">
        <f>ROUND(M37,2)</f>
        <v>5.75</v>
      </c>
      <c r="N38" s="5">
        <f>ROUND(N37,2)</f>
        <v>5.22</v>
      </c>
    </row>
    <row r="39" spans="10:14" ht="15" customHeight="1" x14ac:dyDescent="0.2">
      <c r="J39" s="4" t="s">
        <v>26</v>
      </c>
      <c r="K39" s="39">
        <v>1.4E-2</v>
      </c>
      <c r="L39" s="40"/>
      <c r="M39" s="40"/>
      <c r="N39" s="41"/>
    </row>
    <row r="40" spans="10:14" ht="15" customHeight="1" x14ac:dyDescent="0.2">
      <c r="J40" s="32" t="s">
        <v>65</v>
      </c>
      <c r="K40" s="20">
        <f>K37*(1-$K39)</f>
        <v>7.3302675944549796</v>
      </c>
      <c r="L40" s="20">
        <f>L37*(1-$K39)</f>
        <v>7.1333094698376147</v>
      </c>
      <c r="M40" s="20">
        <f>M37*(1-$K39)</f>
        <v>5.6689686302911175</v>
      </c>
      <c r="N40" s="20">
        <f>N37*(1-$K39)</f>
        <v>5.1466014302189764</v>
      </c>
    </row>
    <row r="41" spans="10:14" ht="15" customHeight="1" x14ac:dyDescent="0.2">
      <c r="J41" s="3" t="s">
        <v>6</v>
      </c>
      <c r="K41" s="5">
        <f>ROUND(K40,2)</f>
        <v>7.33</v>
      </c>
      <c r="L41" s="5">
        <f>ROUND(L40,2)</f>
        <v>7.13</v>
      </c>
      <c r="M41" s="5">
        <f>ROUND(M40,2)</f>
        <v>5.67</v>
      </c>
      <c r="N41" s="5">
        <f>ROUND(N40,2)</f>
        <v>5.15</v>
      </c>
    </row>
    <row r="42" spans="10:14" ht="15" customHeight="1" x14ac:dyDescent="0.2">
      <c r="J42" s="4" t="s">
        <v>26</v>
      </c>
      <c r="K42" s="39">
        <v>1.4E-2</v>
      </c>
      <c r="L42" s="40"/>
      <c r="M42" s="40"/>
      <c r="N42" s="41"/>
    </row>
    <row r="43" spans="10:14" ht="15" customHeight="1" x14ac:dyDescent="0.2">
      <c r="J43" s="32" t="s">
        <v>66</v>
      </c>
      <c r="K43" s="20">
        <f>K40*(1-$K42)</f>
        <v>7.22764384813261</v>
      </c>
      <c r="L43" s="20">
        <f>L40*(1-$K42)</f>
        <v>7.033443137259888</v>
      </c>
      <c r="M43" s="20">
        <f>M40*(1-$K42)</f>
        <v>5.5896030694670422</v>
      </c>
      <c r="N43" s="20">
        <f>N40*(1-$K42)</f>
        <v>5.074549010195911</v>
      </c>
    </row>
    <row r="44" spans="10:14" ht="15" customHeight="1" x14ac:dyDescent="0.2">
      <c r="J44" s="3" t="s">
        <v>6</v>
      </c>
      <c r="K44" s="5">
        <f>ROUND(K43,2)</f>
        <v>7.23</v>
      </c>
      <c r="L44" s="5">
        <f>ROUND(L43,2)</f>
        <v>7.03</v>
      </c>
      <c r="M44" s="5">
        <f>ROUND(M43,2)</f>
        <v>5.59</v>
      </c>
      <c r="N44" s="5">
        <f>ROUND(N43,2)</f>
        <v>5.07</v>
      </c>
    </row>
    <row r="45" spans="10:14" ht="15" customHeight="1" x14ac:dyDescent="0.2">
      <c r="J45" s="46" t="s">
        <v>18</v>
      </c>
      <c r="K45" s="46"/>
      <c r="L45" s="46"/>
      <c r="M45" s="46"/>
      <c r="N45" s="46"/>
    </row>
    <row r="46" spans="10:14" ht="15" customHeight="1" x14ac:dyDescent="0.2">
      <c r="J46" s="47" t="s">
        <v>30</v>
      </c>
      <c r="K46" s="47"/>
      <c r="L46" s="47"/>
      <c r="M46" s="47"/>
      <c r="N46" s="47"/>
    </row>
    <row r="48" spans="10:14" ht="15" customHeight="1" x14ac:dyDescent="0.25">
      <c r="J48" s="49" t="s">
        <v>7</v>
      </c>
      <c r="K48" s="50"/>
      <c r="L48" s="50"/>
      <c r="M48" s="50"/>
      <c r="N48" s="51"/>
    </row>
    <row r="49" spans="10:14" ht="15" customHeight="1" x14ac:dyDescent="0.2">
      <c r="J49" s="58" t="s">
        <v>0</v>
      </c>
      <c r="K49" s="52" t="s">
        <v>41</v>
      </c>
      <c r="L49" s="53"/>
      <c r="M49" s="54"/>
      <c r="N49" s="61" t="s">
        <v>57</v>
      </c>
    </row>
    <row r="50" spans="10:14" ht="15" customHeight="1" x14ac:dyDescent="0.2">
      <c r="J50" s="59"/>
      <c r="K50" s="55"/>
      <c r="L50" s="56"/>
      <c r="M50" s="57"/>
      <c r="N50" s="62"/>
    </row>
    <row r="51" spans="10:14" ht="15" customHeight="1" x14ac:dyDescent="0.2">
      <c r="J51" s="60"/>
      <c r="K51" s="2" t="s">
        <v>32</v>
      </c>
      <c r="L51" s="2" t="s">
        <v>33</v>
      </c>
      <c r="M51" s="2" t="s">
        <v>48</v>
      </c>
      <c r="N51" s="63"/>
    </row>
    <row r="52" spans="10:14" ht="15" customHeight="1" x14ac:dyDescent="0.2">
      <c r="J52" s="4" t="s">
        <v>17</v>
      </c>
      <c r="K52" s="6">
        <f>K8-0.4</f>
        <v>8.16</v>
      </c>
      <c r="L52" s="6">
        <f>L8-0.4</f>
        <v>7.93</v>
      </c>
      <c r="M52" s="6">
        <f>M8-0.4</f>
        <v>6.22</v>
      </c>
      <c r="N52" s="6">
        <f>N8-0.4</f>
        <v>5.6099999999999994</v>
      </c>
    </row>
    <row r="53" spans="10:14" ht="15" customHeight="1" x14ac:dyDescent="0.2">
      <c r="J53" s="4" t="s">
        <v>22</v>
      </c>
      <c r="K53" s="6">
        <f>K11-0.4</f>
        <v>8.0399999999999991</v>
      </c>
      <c r="L53" s="6">
        <f>L11-0.4</f>
        <v>7.8100000000000005</v>
      </c>
      <c r="M53" s="6">
        <f>M11-0.4</f>
        <v>6.13</v>
      </c>
      <c r="N53" s="6">
        <f>N11-0.4</f>
        <v>5.5299999999999994</v>
      </c>
    </row>
    <row r="54" spans="10:14" ht="15" customHeight="1" x14ac:dyDescent="0.2">
      <c r="J54" s="4" t="s">
        <v>23</v>
      </c>
      <c r="K54" s="6">
        <f>K14-0.4</f>
        <v>7.92</v>
      </c>
      <c r="L54" s="6">
        <f>L14-0.4</f>
        <v>7.6999999999999993</v>
      </c>
      <c r="M54" s="6">
        <f>M14-0.4</f>
        <v>6.04</v>
      </c>
      <c r="N54" s="6">
        <f>N14-0.4</f>
        <v>5.4399999999999995</v>
      </c>
    </row>
    <row r="55" spans="10:14" ht="15" customHeight="1" x14ac:dyDescent="0.2">
      <c r="J55" s="4" t="s">
        <v>24</v>
      </c>
      <c r="K55" s="6">
        <f>K17-0.4</f>
        <v>7.8100000000000005</v>
      </c>
      <c r="L55" s="6">
        <f>L17-0.4</f>
        <v>7.59</v>
      </c>
      <c r="M55" s="6">
        <f>M17-0.4</f>
        <v>5.9499999999999993</v>
      </c>
      <c r="N55" s="6">
        <f>N17-0.4</f>
        <v>5.3599999999999994</v>
      </c>
    </row>
    <row r="56" spans="10:14" ht="15" customHeight="1" x14ac:dyDescent="0.2">
      <c r="J56" s="4" t="s">
        <v>54</v>
      </c>
      <c r="K56" s="6">
        <f>K20-0.4</f>
        <v>7.6899999999999995</v>
      </c>
      <c r="L56" s="6">
        <f>L20-0.4</f>
        <v>7.47</v>
      </c>
      <c r="M56" s="6">
        <f>M20-0.4</f>
        <v>5.8599999999999994</v>
      </c>
      <c r="N56" s="6">
        <f>N20-0.4</f>
        <v>5.2799999999999994</v>
      </c>
    </row>
    <row r="57" spans="10:14" ht="15" customHeight="1" x14ac:dyDescent="0.2">
      <c r="J57" s="4" t="s">
        <v>55</v>
      </c>
      <c r="K57" s="6">
        <f>K23-0.4</f>
        <v>7.58</v>
      </c>
      <c r="L57" s="6">
        <f>L23-0.4</f>
        <v>7.3599999999999994</v>
      </c>
      <c r="M57" s="6">
        <f>M23-0.4</f>
        <v>5.77</v>
      </c>
      <c r="N57" s="6">
        <f>N23-0.4</f>
        <v>5.1999999999999993</v>
      </c>
    </row>
    <row r="58" spans="10:14" ht="15" customHeight="1" x14ac:dyDescent="0.2">
      <c r="J58" s="4" t="s">
        <v>56</v>
      </c>
      <c r="K58" s="6">
        <f>K26-0.4</f>
        <v>7.47</v>
      </c>
      <c r="L58" s="6">
        <f>L26-0.4</f>
        <v>7.25</v>
      </c>
      <c r="M58" s="6">
        <f>M26-0.4</f>
        <v>5.68</v>
      </c>
      <c r="N58" s="6">
        <f>N26-0.4</f>
        <v>5.1199999999999992</v>
      </c>
    </row>
    <row r="59" spans="10:14" ht="15" customHeight="1" x14ac:dyDescent="0.2">
      <c r="J59" s="4" t="s">
        <v>61</v>
      </c>
      <c r="K59" s="6">
        <f>K29-0.4</f>
        <v>7.3599999999999994</v>
      </c>
      <c r="L59" s="6">
        <f t="shared" ref="L59:N59" si="3">L29-0.4</f>
        <v>7.1499999999999995</v>
      </c>
      <c r="M59" s="6">
        <f t="shared" si="3"/>
        <v>5.6</v>
      </c>
      <c r="N59" s="6">
        <f t="shared" si="3"/>
        <v>5.05</v>
      </c>
    </row>
    <row r="60" spans="10:14" ht="15" customHeight="1" x14ac:dyDescent="0.2">
      <c r="J60" s="4" t="s">
        <v>62</v>
      </c>
      <c r="K60" s="6">
        <f>K32-0.4</f>
        <v>7.25</v>
      </c>
      <c r="L60" s="6">
        <f t="shared" ref="L60:N60" si="4">L32-0.4</f>
        <v>7.04</v>
      </c>
      <c r="M60" s="6">
        <f t="shared" si="4"/>
        <v>5.51</v>
      </c>
      <c r="N60" s="6">
        <f t="shared" si="4"/>
        <v>4.97</v>
      </c>
    </row>
    <row r="61" spans="10:14" ht="15" customHeight="1" x14ac:dyDescent="0.2">
      <c r="J61" s="4" t="s">
        <v>63</v>
      </c>
      <c r="K61" s="6">
        <f>K35-0.4</f>
        <v>7.14</v>
      </c>
      <c r="L61" s="6">
        <f t="shared" ref="L61:N61" si="5">L35-0.4</f>
        <v>6.9399999999999995</v>
      </c>
      <c r="M61" s="6">
        <f t="shared" si="5"/>
        <v>5.43</v>
      </c>
      <c r="N61" s="6">
        <f t="shared" si="5"/>
        <v>4.8899999999999997</v>
      </c>
    </row>
    <row r="62" spans="10:14" ht="15" customHeight="1" x14ac:dyDescent="0.2">
      <c r="J62" s="4" t="s">
        <v>67</v>
      </c>
      <c r="K62" s="6">
        <f>K38-0.4</f>
        <v>7.0299999999999994</v>
      </c>
      <c r="L62" s="6">
        <f t="shared" ref="L62:M62" si="6">L38-0.4</f>
        <v>6.83</v>
      </c>
      <c r="M62" s="6">
        <f t="shared" si="6"/>
        <v>5.35</v>
      </c>
      <c r="N62" s="6">
        <f>N38-0.4</f>
        <v>4.8199999999999994</v>
      </c>
    </row>
    <row r="63" spans="10:14" ht="15" customHeight="1" x14ac:dyDescent="0.2">
      <c r="J63" s="4" t="s">
        <v>68</v>
      </c>
      <c r="K63" s="6">
        <f>K41-0.4</f>
        <v>6.93</v>
      </c>
      <c r="L63" s="6">
        <f t="shared" ref="L63:M63" si="7">L41-0.4</f>
        <v>6.7299999999999995</v>
      </c>
      <c r="M63" s="6">
        <f t="shared" si="7"/>
        <v>5.27</v>
      </c>
      <c r="N63" s="6">
        <f>N41-0.4</f>
        <v>4.75</v>
      </c>
    </row>
    <row r="64" spans="10:14" ht="15" customHeight="1" x14ac:dyDescent="0.2">
      <c r="J64" s="4" t="s">
        <v>69</v>
      </c>
      <c r="K64" s="6">
        <f>K44-0.4</f>
        <v>6.83</v>
      </c>
      <c r="L64" s="6">
        <f t="shared" ref="L64:M64" si="8">L44-0.4</f>
        <v>6.63</v>
      </c>
      <c r="M64" s="6">
        <f t="shared" si="8"/>
        <v>5.1899999999999995</v>
      </c>
      <c r="N64" s="6">
        <f>N44-0.4</f>
        <v>4.67</v>
      </c>
    </row>
    <row r="65" spans="10:14" ht="15" customHeight="1" x14ac:dyDescent="0.2">
      <c r="J65" s="46" t="s">
        <v>40</v>
      </c>
      <c r="K65" s="46"/>
      <c r="L65" s="46"/>
      <c r="M65" s="46"/>
      <c r="N65" s="46"/>
    </row>
    <row r="67" spans="10:14" ht="15" customHeight="1" x14ac:dyDescent="0.25">
      <c r="J67" s="48" t="s">
        <v>31</v>
      </c>
      <c r="K67" s="48"/>
      <c r="L67" s="48"/>
      <c r="M67" s="48"/>
    </row>
    <row r="69" spans="10:14" ht="15" customHeight="1" x14ac:dyDescent="0.2">
      <c r="J69" s="58" t="s">
        <v>0</v>
      </c>
      <c r="K69" s="68" t="s">
        <v>42</v>
      </c>
      <c r="L69" s="69"/>
      <c r="M69" s="70"/>
    </row>
    <row r="70" spans="10:14" ht="15" customHeight="1" x14ac:dyDescent="0.2">
      <c r="J70" s="59"/>
      <c r="K70" s="71"/>
      <c r="L70" s="72"/>
      <c r="M70" s="73"/>
    </row>
    <row r="71" spans="10:14" ht="15" customHeight="1" x14ac:dyDescent="0.2">
      <c r="J71" s="60"/>
      <c r="K71" s="2" t="s">
        <v>32</v>
      </c>
      <c r="L71" s="2" t="s">
        <v>33</v>
      </c>
      <c r="M71" s="2" t="s">
        <v>48</v>
      </c>
    </row>
    <row r="72" spans="10:14" ht="15" customHeight="1" x14ac:dyDescent="0.2">
      <c r="J72" s="30" t="s">
        <v>28</v>
      </c>
      <c r="K72" s="31">
        <v>3.79</v>
      </c>
      <c r="L72" s="31">
        <v>3.52</v>
      </c>
      <c r="M72" s="31">
        <v>2.37</v>
      </c>
    </row>
    <row r="73" spans="10:14" ht="15" customHeight="1" x14ac:dyDescent="0.2">
      <c r="J73" s="4" t="s">
        <v>26</v>
      </c>
      <c r="K73" s="39">
        <v>1.4E-2</v>
      </c>
      <c r="L73" s="40"/>
      <c r="M73" s="41"/>
    </row>
    <row r="74" spans="10:14" ht="15" customHeight="1" x14ac:dyDescent="0.2">
      <c r="J74" s="32" t="s">
        <v>19</v>
      </c>
      <c r="K74" s="20">
        <f>K72*(1-$K73)</f>
        <v>3.7369400000000002</v>
      </c>
      <c r="L74" s="20">
        <f>L72*(1-$K73)</f>
        <v>3.47072</v>
      </c>
      <c r="M74" s="20">
        <f>M72*(1-$K73)</f>
        <v>2.3368199999999999</v>
      </c>
    </row>
    <row r="75" spans="10:14" ht="15" customHeight="1" x14ac:dyDescent="0.2">
      <c r="J75" s="3" t="s">
        <v>6</v>
      </c>
      <c r="K75" s="5">
        <f>ROUND(K74,2)</f>
        <v>3.74</v>
      </c>
      <c r="L75" s="5">
        <f>ROUND(L74,2)</f>
        <v>3.47</v>
      </c>
      <c r="M75" s="5">
        <f>ROUND(M74,2)</f>
        <v>2.34</v>
      </c>
    </row>
    <row r="76" spans="10:14" ht="15" customHeight="1" x14ac:dyDescent="0.2">
      <c r="J76" s="4" t="s">
        <v>26</v>
      </c>
      <c r="K76" s="39">
        <v>1.4E-2</v>
      </c>
      <c r="L76" s="40"/>
      <c r="M76" s="41"/>
    </row>
    <row r="77" spans="10:14" ht="15" customHeight="1" x14ac:dyDescent="0.2">
      <c r="J77" s="32" t="s">
        <v>20</v>
      </c>
      <c r="K77" s="20">
        <f>K74*(1-$K76)</f>
        <v>3.6846228400000003</v>
      </c>
      <c r="L77" s="20">
        <f>L74*(1-$K76)</f>
        <v>3.4221299200000002</v>
      </c>
      <c r="M77" s="20">
        <f>M74*(1-$K76)</f>
        <v>2.3041045199999997</v>
      </c>
    </row>
    <row r="78" spans="10:14" ht="15" customHeight="1" x14ac:dyDescent="0.2">
      <c r="J78" s="3" t="s">
        <v>6</v>
      </c>
      <c r="K78" s="5">
        <f>ROUND(K77,2)</f>
        <v>3.68</v>
      </c>
      <c r="L78" s="5">
        <f>ROUND(L77,2)</f>
        <v>3.42</v>
      </c>
      <c r="M78" s="5">
        <f>ROUND(M77,2)</f>
        <v>2.2999999999999998</v>
      </c>
    </row>
    <row r="79" spans="10:14" ht="15" customHeight="1" x14ac:dyDescent="0.2">
      <c r="J79" s="4" t="s">
        <v>26</v>
      </c>
      <c r="K79" s="39">
        <v>1.4E-2</v>
      </c>
      <c r="L79" s="40"/>
      <c r="M79" s="41"/>
    </row>
    <row r="80" spans="10:14" ht="15" customHeight="1" x14ac:dyDescent="0.2">
      <c r="J80" s="32" t="s">
        <v>21</v>
      </c>
      <c r="K80" s="20">
        <f>K77*(1-$K79)</f>
        <v>3.6330381202400002</v>
      </c>
      <c r="L80" s="20">
        <f>L77*(1-$K79)</f>
        <v>3.3742201011200001</v>
      </c>
      <c r="M80" s="20">
        <f>M77*(1-$K79)</f>
        <v>2.2718470567199995</v>
      </c>
    </row>
    <row r="81" spans="10:13" ht="15" customHeight="1" x14ac:dyDescent="0.2">
      <c r="J81" s="3" t="s">
        <v>6</v>
      </c>
      <c r="K81" s="5">
        <f>ROUND(K80,2)</f>
        <v>3.63</v>
      </c>
      <c r="L81" s="5">
        <f>ROUND(L80,2)</f>
        <v>3.37</v>
      </c>
      <c r="M81" s="5">
        <f>ROUND(M80,2)</f>
        <v>2.27</v>
      </c>
    </row>
    <row r="82" spans="10:13" ht="15" customHeight="1" x14ac:dyDescent="0.2">
      <c r="J82" s="4" t="s">
        <v>26</v>
      </c>
      <c r="K82" s="39">
        <v>1.4E-2</v>
      </c>
      <c r="L82" s="40"/>
      <c r="M82" s="41"/>
    </row>
    <row r="83" spans="10:13" ht="15" customHeight="1" x14ac:dyDescent="0.2">
      <c r="J83" s="32" t="s">
        <v>51</v>
      </c>
      <c r="K83" s="20">
        <f>K80*(1-$K82)</f>
        <v>3.58217558655664</v>
      </c>
      <c r="L83" s="20">
        <f t="shared" ref="L83:M83" si="9">L80*(1-$K82)</f>
        <v>3.3269810197043199</v>
      </c>
      <c r="M83" s="20">
        <f t="shared" si="9"/>
        <v>2.2400411979259194</v>
      </c>
    </row>
    <row r="84" spans="10:13" ht="15" customHeight="1" x14ac:dyDescent="0.2">
      <c r="J84" s="3" t="s">
        <v>6</v>
      </c>
      <c r="K84" s="5">
        <f>ROUND(K83,2)</f>
        <v>3.58</v>
      </c>
      <c r="L84" s="5">
        <f>ROUND(L83,2)</f>
        <v>3.33</v>
      </c>
      <c r="M84" s="5">
        <f>ROUND(M83,2)</f>
        <v>2.2400000000000002</v>
      </c>
    </row>
    <row r="85" spans="10:13" ht="15" customHeight="1" x14ac:dyDescent="0.2">
      <c r="J85" s="4" t="s">
        <v>26</v>
      </c>
      <c r="K85" s="39">
        <v>1.4E-2</v>
      </c>
      <c r="L85" s="40"/>
      <c r="M85" s="41"/>
    </row>
    <row r="86" spans="10:13" ht="15" customHeight="1" x14ac:dyDescent="0.2">
      <c r="J86" s="32" t="s">
        <v>52</v>
      </c>
      <c r="K86" s="20">
        <f>K83*(1-$K85)</f>
        <v>3.5320251283448472</v>
      </c>
      <c r="L86" s="20">
        <f>L83*(1-$K85)</f>
        <v>3.2804032854284593</v>
      </c>
      <c r="M86" s="20">
        <f>M83*(1-$K85)</f>
        <v>2.2086806211549566</v>
      </c>
    </row>
    <row r="87" spans="10:13" ht="15" customHeight="1" x14ac:dyDescent="0.2">
      <c r="J87" s="3" t="s">
        <v>6</v>
      </c>
      <c r="K87" s="5">
        <f>ROUND(K86,2)</f>
        <v>3.53</v>
      </c>
      <c r="L87" s="5">
        <f>ROUND(L86,2)</f>
        <v>3.28</v>
      </c>
      <c r="M87" s="5">
        <f>ROUND(M86,2)</f>
        <v>2.21</v>
      </c>
    </row>
    <row r="88" spans="10:13" ht="15" customHeight="1" x14ac:dyDescent="0.2">
      <c r="J88" s="4" t="s">
        <v>26</v>
      </c>
      <c r="K88" s="39">
        <v>1.4E-2</v>
      </c>
      <c r="L88" s="40"/>
      <c r="M88" s="41"/>
    </row>
    <row r="89" spans="10:13" ht="15" customHeight="1" x14ac:dyDescent="0.2">
      <c r="J89" s="32" t="s">
        <v>53</v>
      </c>
      <c r="K89" s="20">
        <f>K86*(1-$K88)</f>
        <v>3.4825767765480191</v>
      </c>
      <c r="L89" s="20">
        <f>L86*(1-$K88)</f>
        <v>3.2344776394324608</v>
      </c>
      <c r="M89" s="20">
        <f>M86*(1-$K88)</f>
        <v>2.1777590924587873</v>
      </c>
    </row>
    <row r="90" spans="10:13" ht="15" customHeight="1" x14ac:dyDescent="0.2">
      <c r="J90" s="3" t="s">
        <v>6</v>
      </c>
      <c r="K90" s="5">
        <f>ROUND(K89,2)</f>
        <v>3.48</v>
      </c>
      <c r="L90" s="5">
        <f>ROUND(L89,2)</f>
        <v>3.23</v>
      </c>
      <c r="M90" s="5">
        <f>ROUND(M89,2)</f>
        <v>2.1800000000000002</v>
      </c>
    </row>
    <row r="91" spans="10:13" ht="15" customHeight="1" x14ac:dyDescent="0.2">
      <c r="J91" s="4" t="s">
        <v>26</v>
      </c>
      <c r="K91" s="39">
        <v>1.4E-2</v>
      </c>
      <c r="L91" s="40"/>
      <c r="M91" s="41"/>
    </row>
    <row r="92" spans="10:13" ht="15" customHeight="1" x14ac:dyDescent="0.2">
      <c r="J92" s="32" t="s">
        <v>58</v>
      </c>
      <c r="K92" s="20">
        <f>K89*(1-$K91)</f>
        <v>3.4338207016763467</v>
      </c>
      <c r="L92" s="20">
        <f t="shared" ref="L92" si="10">L89*(1-$K91)</f>
        <v>3.1891949524804062</v>
      </c>
      <c r="M92" s="20">
        <f>M89*(1-$K91)</f>
        <v>2.1472704651643642</v>
      </c>
    </row>
    <row r="93" spans="10:13" ht="15" customHeight="1" x14ac:dyDescent="0.2">
      <c r="J93" s="3" t="s">
        <v>6</v>
      </c>
      <c r="K93" s="5">
        <f>ROUND(K92,2)</f>
        <v>3.43</v>
      </c>
      <c r="L93" s="5">
        <f>ROUND(L92,2)</f>
        <v>3.19</v>
      </c>
      <c r="M93" s="5">
        <f>ROUND(M92,2)</f>
        <v>2.15</v>
      </c>
    </row>
    <row r="94" spans="10:13" ht="15" customHeight="1" x14ac:dyDescent="0.2">
      <c r="J94" s="4" t="s">
        <v>26</v>
      </c>
      <c r="K94" s="39">
        <v>1.4E-2</v>
      </c>
      <c r="L94" s="40"/>
      <c r="M94" s="41"/>
    </row>
    <row r="95" spans="10:13" ht="15" customHeight="1" x14ac:dyDescent="0.2">
      <c r="J95" s="32" t="s">
        <v>59</v>
      </c>
      <c r="K95" s="20">
        <f>K92*(1-$K94)</f>
        <v>3.3857472118528777</v>
      </c>
      <c r="L95" s="20">
        <f>L92*(1-$K94)</f>
        <v>3.1445462231456807</v>
      </c>
      <c r="M95" s="20">
        <f>M92*(1-$K94)</f>
        <v>2.1172086786520632</v>
      </c>
    </row>
    <row r="96" spans="10:13" ht="15" customHeight="1" x14ac:dyDescent="0.2">
      <c r="J96" s="3" t="s">
        <v>6</v>
      </c>
      <c r="K96" s="5">
        <f>ROUND(K95,2)</f>
        <v>3.39</v>
      </c>
      <c r="L96" s="5">
        <f>ROUND(L95,2)</f>
        <v>3.14</v>
      </c>
      <c r="M96" s="5">
        <f>ROUND(M95,2)</f>
        <v>2.12</v>
      </c>
    </row>
    <row r="97" spans="10:13" ht="15" customHeight="1" x14ac:dyDescent="0.2">
      <c r="J97" s="4" t="s">
        <v>26</v>
      </c>
      <c r="K97" s="39">
        <v>1.4E-2</v>
      </c>
      <c r="L97" s="40"/>
      <c r="M97" s="41"/>
    </row>
    <row r="98" spans="10:13" ht="15" customHeight="1" x14ac:dyDescent="0.2">
      <c r="J98" s="32" t="s">
        <v>60</v>
      </c>
      <c r="K98" s="20">
        <f>K95*(1-$K97)</f>
        <v>3.3383467508869376</v>
      </c>
      <c r="L98" s="20">
        <f>L95*(1-$K97)</f>
        <v>3.1005225760216413</v>
      </c>
      <c r="M98" s="20">
        <f>M95*(1-$K97)</f>
        <v>2.0875677571509343</v>
      </c>
    </row>
    <row r="99" spans="10:13" ht="15" customHeight="1" x14ac:dyDescent="0.2">
      <c r="J99" s="3" t="s">
        <v>6</v>
      </c>
      <c r="K99" s="5">
        <f>ROUND(K98,2)</f>
        <v>3.34</v>
      </c>
      <c r="L99" s="5">
        <f>ROUND(L98,2)</f>
        <v>3.1</v>
      </c>
      <c r="M99" s="5">
        <f>ROUND(M98,2)</f>
        <v>2.09</v>
      </c>
    </row>
    <row r="100" spans="10:13" ht="15" customHeight="1" x14ac:dyDescent="0.2">
      <c r="J100" s="4" t="s">
        <v>26</v>
      </c>
      <c r="K100" s="39">
        <v>1.4E-2</v>
      </c>
      <c r="L100" s="40"/>
      <c r="M100" s="41"/>
    </row>
    <row r="101" spans="10:13" ht="15" customHeight="1" x14ac:dyDescent="0.2">
      <c r="J101" s="32" t="s">
        <v>64</v>
      </c>
      <c r="K101" s="20">
        <f>K98*(1-$K100)</f>
        <v>3.2916098963745202</v>
      </c>
      <c r="L101" s="20">
        <f t="shared" ref="L101" si="11">L98*(1-$K100)</f>
        <v>3.0571152599573383</v>
      </c>
      <c r="M101" s="20">
        <f>M98*(1-$K100)</f>
        <v>2.0583418085508214</v>
      </c>
    </row>
    <row r="102" spans="10:13" ht="15" customHeight="1" x14ac:dyDescent="0.2">
      <c r="J102" s="3" t="s">
        <v>6</v>
      </c>
      <c r="K102" s="5">
        <f>ROUND(K101,2)</f>
        <v>3.29</v>
      </c>
      <c r="L102" s="5">
        <f>ROUND(L101,2)</f>
        <v>3.06</v>
      </c>
      <c r="M102" s="5">
        <f>ROUND(M101,2)</f>
        <v>2.06</v>
      </c>
    </row>
    <row r="103" spans="10:13" ht="15" customHeight="1" x14ac:dyDescent="0.2">
      <c r="J103" s="4" t="s">
        <v>26</v>
      </c>
      <c r="K103" s="39">
        <v>1.4E-2</v>
      </c>
      <c r="L103" s="40"/>
      <c r="M103" s="41"/>
    </row>
    <row r="104" spans="10:13" ht="15" customHeight="1" x14ac:dyDescent="0.2">
      <c r="J104" s="32" t="s">
        <v>65</v>
      </c>
      <c r="K104" s="20">
        <f>K101*(1-$K103)</f>
        <v>3.245527357825277</v>
      </c>
      <c r="L104" s="20">
        <f>L101*(1-$K103)</f>
        <v>3.0143156463179355</v>
      </c>
      <c r="M104" s="20">
        <f>M101*(1-$K103)</f>
        <v>2.0295250232311099</v>
      </c>
    </row>
    <row r="105" spans="10:13" ht="15" customHeight="1" x14ac:dyDescent="0.2">
      <c r="J105" s="3" t="s">
        <v>6</v>
      </c>
      <c r="K105" s="5">
        <f>ROUND(K104,2)</f>
        <v>3.25</v>
      </c>
      <c r="L105" s="5">
        <f>ROUND(L104,2)</f>
        <v>3.01</v>
      </c>
      <c r="M105" s="5">
        <f>ROUND(M104,2)</f>
        <v>2.0299999999999998</v>
      </c>
    </row>
    <row r="106" spans="10:13" ht="15" customHeight="1" x14ac:dyDescent="0.2">
      <c r="J106" s="4" t="s">
        <v>26</v>
      </c>
      <c r="K106" s="39">
        <v>1.4E-2</v>
      </c>
      <c r="L106" s="40"/>
      <c r="M106" s="41"/>
    </row>
    <row r="107" spans="10:13" ht="15" customHeight="1" x14ac:dyDescent="0.2">
      <c r="J107" s="32" t="s">
        <v>66</v>
      </c>
      <c r="K107" s="20">
        <f>K104*(1-$K106)</f>
        <v>3.200089974815723</v>
      </c>
      <c r="L107" s="20">
        <f>L104*(1-$K106)</f>
        <v>2.9721152272694842</v>
      </c>
      <c r="M107" s="20">
        <f>M104*(1-$K106)</f>
        <v>2.0011116729058744</v>
      </c>
    </row>
    <row r="108" spans="10:13" ht="15" customHeight="1" x14ac:dyDescent="0.2">
      <c r="J108" s="3" t="s">
        <v>6</v>
      </c>
      <c r="K108" s="5">
        <f>ROUND(K107,2)</f>
        <v>3.2</v>
      </c>
      <c r="L108" s="5">
        <f>ROUND(L107,2)</f>
        <v>2.97</v>
      </c>
      <c r="M108" s="5">
        <f>ROUND(M107,2)</f>
        <v>2</v>
      </c>
    </row>
    <row r="109" spans="10:13" ht="15" customHeight="1" x14ac:dyDescent="0.2">
      <c r="J109" s="66" t="s">
        <v>29</v>
      </c>
      <c r="K109" s="66"/>
      <c r="L109" s="66"/>
      <c r="M109" s="66"/>
    </row>
    <row r="110" spans="10:13" ht="15" customHeight="1" x14ac:dyDescent="0.2">
      <c r="J110" s="67" t="s">
        <v>30</v>
      </c>
      <c r="K110" s="67"/>
      <c r="L110" s="67"/>
      <c r="M110" s="67"/>
    </row>
  </sheetData>
  <mergeCells count="50">
    <mergeCell ref="J65:N65"/>
    <mergeCell ref="K42:N42"/>
    <mergeCell ref="J48:N48"/>
    <mergeCell ref="J49:J51"/>
    <mergeCell ref="K49:M50"/>
    <mergeCell ref="N49:N51"/>
    <mergeCell ref="J109:M109"/>
    <mergeCell ref="J110:M110"/>
    <mergeCell ref="K76:M76"/>
    <mergeCell ref="K79:M79"/>
    <mergeCell ref="J67:M67"/>
    <mergeCell ref="J69:J71"/>
    <mergeCell ref="K73:M73"/>
    <mergeCell ref="K69:M70"/>
    <mergeCell ref="K82:M82"/>
    <mergeCell ref="K85:M85"/>
    <mergeCell ref="K88:M88"/>
    <mergeCell ref="K91:M91"/>
    <mergeCell ref="K94:M94"/>
    <mergeCell ref="K97:M97"/>
    <mergeCell ref="K103:M103"/>
    <mergeCell ref="K106:M106"/>
    <mergeCell ref="J2:N2"/>
    <mergeCell ref="K15:N15"/>
    <mergeCell ref="K12:N12"/>
    <mergeCell ref="B2:G2"/>
    <mergeCell ref="B3:G3"/>
    <mergeCell ref="K9:N9"/>
    <mergeCell ref="J4:N4"/>
    <mergeCell ref="K5:M6"/>
    <mergeCell ref="J5:J7"/>
    <mergeCell ref="N5:N7"/>
    <mergeCell ref="B12:G13"/>
    <mergeCell ref="B14:G15"/>
    <mergeCell ref="K100:M100"/>
    <mergeCell ref="B21:G22"/>
    <mergeCell ref="B17:G17"/>
    <mergeCell ref="B25:G25"/>
    <mergeCell ref="B5:G5"/>
    <mergeCell ref="B19:C19"/>
    <mergeCell ref="K18:N18"/>
    <mergeCell ref="K21:N21"/>
    <mergeCell ref="K24:N24"/>
    <mergeCell ref="J45:N45"/>
    <mergeCell ref="J46:N46"/>
    <mergeCell ref="K27:N27"/>
    <mergeCell ref="K30:N30"/>
    <mergeCell ref="K33:N33"/>
    <mergeCell ref="K36:N36"/>
    <mergeCell ref="K39:N39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>
    <oddHeader>&amp;L&amp;"Arial,Fett"&amp;9Bestimmung der anzulegenden Werte nach EEG 2017</oddHeader>
    <oddFooter>&amp;L&amp;"Arial,Fett"&amp;9Bundesnetzagentur, Referat 605   &amp;R&amp;"Arial,Fett"&amp;9Seite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24"/>
  <sheetViews>
    <sheetView showGridLines="0" zoomScale="115" zoomScaleNormal="115" workbookViewId="0">
      <selection activeCell="C45" sqref="C45"/>
    </sheetView>
  </sheetViews>
  <sheetFormatPr defaultColWidth="11.42578125" defaultRowHeight="15" x14ac:dyDescent="0.25"/>
  <cols>
    <col min="1" max="1" width="16.7109375" style="8" customWidth="1"/>
    <col min="2" max="2" width="15.42578125" style="8" customWidth="1"/>
    <col min="3" max="5" width="14" style="8" customWidth="1"/>
    <col min="6" max="16384" width="11.42578125" style="8"/>
  </cols>
  <sheetData>
    <row r="2" spans="1:5" x14ac:dyDescent="0.25">
      <c r="A2" s="8" t="s">
        <v>8</v>
      </c>
    </row>
    <row r="3" spans="1:5" x14ac:dyDescent="0.25">
      <c r="A3" s="8" t="s">
        <v>11</v>
      </c>
    </row>
    <row r="5" spans="1:5" x14ac:dyDescent="0.25">
      <c r="B5" s="19" t="s">
        <v>0</v>
      </c>
      <c r="C5" s="16" t="s">
        <v>2</v>
      </c>
      <c r="D5" s="17" t="s">
        <v>1</v>
      </c>
      <c r="E5" s="18" t="s">
        <v>3</v>
      </c>
    </row>
    <row r="6" spans="1:5" ht="12.75" customHeight="1" x14ac:dyDescent="0.25">
      <c r="B6" s="27" t="s">
        <v>16</v>
      </c>
      <c r="C6" s="9"/>
      <c r="D6" s="9"/>
      <c r="E6" s="9"/>
    </row>
    <row r="7" spans="1:5" ht="12.75" customHeight="1" x14ac:dyDescent="0.25">
      <c r="B7" s="9" t="s">
        <v>6</v>
      </c>
      <c r="C7" s="10">
        <v>8.56</v>
      </c>
      <c r="D7" s="11">
        <v>8.33</v>
      </c>
      <c r="E7" s="12">
        <v>6.62</v>
      </c>
    </row>
    <row r="9" spans="1:5" x14ac:dyDescent="0.25">
      <c r="A9" s="8" t="s">
        <v>12</v>
      </c>
    </row>
    <row r="11" spans="1:5" ht="18" x14ac:dyDescent="0.35">
      <c r="A11" s="13" t="s">
        <v>13</v>
      </c>
      <c r="B11" s="8" t="s">
        <v>45</v>
      </c>
    </row>
    <row r="12" spans="1:5" x14ac:dyDescent="0.25">
      <c r="A12" s="14" t="s">
        <v>9</v>
      </c>
      <c r="B12" s="15">
        <f xml:space="preserve"> 10 / 100 * C7 + 30 / 100 *D7 + 60 /100 * E7</f>
        <v>7.327</v>
      </c>
      <c r="C12" s="8" t="s">
        <v>10</v>
      </c>
    </row>
    <row r="14" spans="1:5" x14ac:dyDescent="0.25">
      <c r="A14" s="8" t="s">
        <v>14</v>
      </c>
    </row>
    <row r="16" spans="1:5" ht="18" x14ac:dyDescent="0.35">
      <c r="A16" s="13" t="s">
        <v>15</v>
      </c>
      <c r="B16" s="8" t="s">
        <v>46</v>
      </c>
    </row>
    <row r="17" spans="1:16" x14ac:dyDescent="0.25">
      <c r="A17" s="14" t="s">
        <v>9</v>
      </c>
      <c r="B17" s="15">
        <f>10 / 100 * (C7- 0.4) + 30 / 100 * (D7 - 0.4)+ 60 /100 * (E7 - 0.4)</f>
        <v>6.9269999999999996</v>
      </c>
      <c r="C17" s="8" t="s">
        <v>10</v>
      </c>
    </row>
    <row r="19" spans="1:16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C038-D371-4208-9E1A-BF67EDC1CD96}">
  <dimension ref="A1:B13"/>
  <sheetViews>
    <sheetView tabSelected="1" workbookViewId="0">
      <selection activeCell="F4" sqref="F4"/>
    </sheetView>
  </sheetViews>
  <sheetFormatPr defaultRowHeight="12.75" x14ac:dyDescent="0.2"/>
  <cols>
    <col min="1" max="1" width="14.42578125" bestFit="1" customWidth="1"/>
    <col min="2" max="2" width="9.42578125" bestFit="1" customWidth="1"/>
  </cols>
  <sheetData>
    <row r="1" spans="1:2" x14ac:dyDescent="0.2">
      <c r="A1" t="s">
        <v>77</v>
      </c>
      <c r="B1" t="s">
        <v>32</v>
      </c>
    </row>
    <row r="2" spans="1:2" x14ac:dyDescent="0.2">
      <c r="A2">
        <v>1</v>
      </c>
      <c r="B2">
        <v>8.16</v>
      </c>
    </row>
    <row r="3" spans="1:2" x14ac:dyDescent="0.2">
      <c r="A3">
        <v>2</v>
      </c>
      <c r="B3">
        <v>8.0399999999999991</v>
      </c>
    </row>
    <row r="4" spans="1:2" x14ac:dyDescent="0.2">
      <c r="A4">
        <v>3</v>
      </c>
      <c r="B4">
        <v>7.92</v>
      </c>
    </row>
    <row r="5" spans="1:2" x14ac:dyDescent="0.2">
      <c r="A5">
        <v>4</v>
      </c>
      <c r="B5">
        <v>7.8100000000000005</v>
      </c>
    </row>
    <row r="6" spans="1:2" x14ac:dyDescent="0.2">
      <c r="A6">
        <v>5</v>
      </c>
      <c r="B6">
        <v>7.6899999999999995</v>
      </c>
    </row>
    <row r="7" spans="1:2" x14ac:dyDescent="0.2">
      <c r="A7">
        <v>6</v>
      </c>
      <c r="B7">
        <v>7.58</v>
      </c>
    </row>
    <row r="8" spans="1:2" x14ac:dyDescent="0.2">
      <c r="A8">
        <v>7</v>
      </c>
      <c r="B8">
        <v>7.47</v>
      </c>
    </row>
    <row r="9" spans="1:2" x14ac:dyDescent="0.2">
      <c r="A9">
        <v>8</v>
      </c>
      <c r="B9">
        <v>7.3599999999999994</v>
      </c>
    </row>
    <row r="10" spans="1:2" x14ac:dyDescent="0.2">
      <c r="A10">
        <v>9</v>
      </c>
      <c r="B10">
        <v>7.25</v>
      </c>
    </row>
    <row r="11" spans="1:2" x14ac:dyDescent="0.2">
      <c r="A11">
        <v>10</v>
      </c>
      <c r="B11">
        <v>7.14</v>
      </c>
    </row>
    <row r="12" spans="1:2" x14ac:dyDescent="0.2">
      <c r="A12">
        <v>11</v>
      </c>
      <c r="B12">
        <v>7.0299999999999994</v>
      </c>
    </row>
    <row r="13" spans="1:2" x14ac:dyDescent="0.2">
      <c r="A13">
        <v>12</v>
      </c>
      <c r="B13">
        <v>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Solar</vt:lpstr>
      <vt:lpstr>Beispiel</vt:lpstr>
      <vt:lpstr>Feed in Tarrif 2021 Germany</vt:lpstr>
      <vt:lpstr>Solar!Print_Area</vt:lpstr>
    </vt:vector>
  </TitlesOfParts>
  <Company>Bundesnetzagentur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605-5</dc:creator>
  <cp:lastModifiedBy>Katoch, Anirudh</cp:lastModifiedBy>
  <cp:lastPrinted>2019-04-15T07:54:25Z</cp:lastPrinted>
  <dcterms:created xsi:type="dcterms:W3CDTF">2012-09-17T15:14:14Z</dcterms:created>
  <dcterms:modified xsi:type="dcterms:W3CDTF">2024-06-12T10:46:57Z</dcterms:modified>
</cp:coreProperties>
</file>